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THAM\Admin-RekapPRO\data\"/>
    </mc:Choice>
  </mc:AlternateContent>
  <xr:revisionPtr revIDLastSave="0" documentId="13_ncr:1_{B57B6348-2EB8-4B2A-9220-A22A903AC387}" xr6:coauthVersionLast="47" xr6:coauthVersionMax="47" xr10:uidLastSave="{00000000-0000-0000-0000-000000000000}"/>
  <bookViews>
    <workbookView xWindow="-120" yWindow="-120" windowWidth="24240" windowHeight="13020" tabRatio="470" activeTab="2" xr2:uid="{974883BA-7DA5-418D-90AC-95040254DEEB}"/>
  </bookViews>
  <sheets>
    <sheet name="2023" sheetId="1" r:id="rId1"/>
    <sheet name="2024" sheetId="2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3" l="1"/>
  <c r="C53" i="3"/>
  <c r="C48" i="3"/>
  <c r="D48" i="3" s="1"/>
  <c r="C49" i="3"/>
  <c r="D49" i="3" s="1"/>
  <c r="C32" i="3"/>
  <c r="D32" i="3" s="1"/>
  <c r="BA55" i="3"/>
  <c r="BA52" i="3"/>
  <c r="BA51" i="3"/>
  <c r="AW55" i="3"/>
  <c r="AW52" i="3"/>
  <c r="AW51" i="3"/>
  <c r="AS55" i="3"/>
  <c r="AS52" i="3"/>
  <c r="AS51" i="3"/>
  <c r="AO51" i="3"/>
  <c r="AO47" i="2"/>
  <c r="AS47" i="2"/>
  <c r="AW47" i="2"/>
  <c r="BA47" i="2"/>
  <c r="AO48" i="2"/>
  <c r="AO49" i="2" s="1"/>
  <c r="AS48" i="2"/>
  <c r="AW48" i="2"/>
  <c r="BA48" i="2"/>
  <c r="BA49" i="2" s="1"/>
  <c r="BA50" i="2" s="1"/>
  <c r="AO51" i="2"/>
  <c r="AS51" i="2"/>
  <c r="AW51" i="2"/>
  <c r="BA51" i="2"/>
  <c r="AK52" i="3"/>
  <c r="AO55" i="3"/>
  <c r="AK55" i="3"/>
  <c r="AG55" i="3"/>
  <c r="AC55" i="3"/>
  <c r="Y55" i="3"/>
  <c r="U55" i="3"/>
  <c r="Q55" i="3"/>
  <c r="M55" i="3"/>
  <c r="I55" i="3"/>
  <c r="AO52" i="3"/>
  <c r="AG52" i="3"/>
  <c r="AC52" i="3"/>
  <c r="Y52" i="3"/>
  <c r="U52" i="3"/>
  <c r="Q52" i="3"/>
  <c r="M52" i="3"/>
  <c r="I52" i="3"/>
  <c r="AK51" i="3"/>
  <c r="AG51" i="3"/>
  <c r="AC51" i="3"/>
  <c r="Y51" i="3"/>
  <c r="U51" i="3"/>
  <c r="Q51" i="3"/>
  <c r="M51" i="3"/>
  <c r="I51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1" i="3"/>
  <c r="C30" i="3"/>
  <c r="C29" i="3"/>
  <c r="C28" i="3"/>
  <c r="C27" i="3"/>
  <c r="D27" i="3" s="1"/>
  <c r="C26" i="3"/>
  <c r="C25" i="3"/>
  <c r="C24" i="3"/>
  <c r="C23" i="3"/>
  <c r="C22" i="3"/>
  <c r="C21" i="3"/>
  <c r="C20" i="3"/>
  <c r="C19" i="3"/>
  <c r="C18" i="3"/>
  <c r="D18" i="3" s="1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AK48" i="2"/>
  <c r="AK51" i="2"/>
  <c r="I47" i="2"/>
  <c r="I48" i="2"/>
  <c r="AG51" i="2"/>
  <c r="AC51" i="2"/>
  <c r="Y51" i="2"/>
  <c r="U51" i="2"/>
  <c r="Q51" i="2"/>
  <c r="M51" i="2"/>
  <c r="I51" i="2"/>
  <c r="AG48" i="2"/>
  <c r="AC48" i="2"/>
  <c r="Y48" i="2"/>
  <c r="U48" i="2"/>
  <c r="Q48" i="2"/>
  <c r="M48" i="2"/>
  <c r="AK47" i="2"/>
  <c r="AG47" i="2"/>
  <c r="AC47" i="2"/>
  <c r="Y47" i="2"/>
  <c r="U47" i="2"/>
  <c r="Q47" i="2"/>
  <c r="M47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D27" i="2" s="1"/>
  <c r="C26" i="2"/>
  <c r="C25" i="2"/>
  <c r="C24" i="2"/>
  <c r="C23" i="2"/>
  <c r="C22" i="2"/>
  <c r="C21" i="2"/>
  <c r="C20" i="2"/>
  <c r="C19" i="2"/>
  <c r="C18" i="2"/>
  <c r="D18" i="2" s="1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A51" i="1"/>
  <c r="AW51" i="1"/>
  <c r="D23" i="2" l="1"/>
  <c r="AO53" i="3"/>
  <c r="AW49" i="2"/>
  <c r="AS49" i="2"/>
  <c r="BA53" i="3"/>
  <c r="AW53" i="3"/>
  <c r="D46" i="3"/>
  <c r="AS53" i="3"/>
  <c r="B54" i="3"/>
  <c r="AW50" i="2"/>
  <c r="D34" i="2"/>
  <c r="D37" i="2"/>
  <c r="D45" i="2"/>
  <c r="D21" i="2"/>
  <c r="C51" i="2"/>
  <c r="AC53" i="3"/>
  <c r="Y53" i="3"/>
  <c r="U53" i="3"/>
  <c r="Q53" i="3"/>
  <c r="M53" i="3"/>
  <c r="M56" i="3" s="1"/>
  <c r="D25" i="3"/>
  <c r="AK53" i="3"/>
  <c r="AG53" i="3"/>
  <c r="D23" i="3"/>
  <c r="D17" i="3"/>
  <c r="D35" i="3"/>
  <c r="D43" i="3"/>
  <c r="I53" i="3"/>
  <c r="I56" i="3" s="1"/>
  <c r="D38" i="3"/>
  <c r="D8" i="3"/>
  <c r="D13" i="3"/>
  <c r="D21" i="3"/>
  <c r="D30" i="3"/>
  <c r="C55" i="3"/>
  <c r="D42" i="2"/>
  <c r="D30" i="2"/>
  <c r="D25" i="2"/>
  <c r="D17" i="2"/>
  <c r="D13" i="2"/>
  <c r="C49" i="2"/>
  <c r="D8" i="2"/>
  <c r="I49" i="2"/>
  <c r="M49" i="2"/>
  <c r="Q49" i="2"/>
  <c r="U49" i="2"/>
  <c r="Y49" i="2"/>
  <c r="AC49" i="2"/>
  <c r="AG49" i="2"/>
  <c r="AK49" i="2"/>
  <c r="I52" i="2"/>
  <c r="M52" i="2"/>
  <c r="AS51" i="1"/>
  <c r="AO51" i="1"/>
  <c r="AK51" i="1"/>
  <c r="AG51" i="1"/>
  <c r="AC51" i="1"/>
  <c r="Y51" i="1"/>
  <c r="U51" i="1"/>
  <c r="D53" i="3" l="1"/>
  <c r="D49" i="2"/>
  <c r="E49" i="2" s="1"/>
  <c r="C50" i="2"/>
  <c r="B50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3" i="1"/>
  <c r="E32" i="3" l="1"/>
  <c r="E48" i="3"/>
  <c r="E49" i="3"/>
  <c r="E53" i="3"/>
  <c r="E8" i="3"/>
  <c r="E46" i="3"/>
  <c r="E38" i="3"/>
  <c r="E13" i="3"/>
  <c r="E17" i="3"/>
  <c r="E18" i="3"/>
  <c r="E25" i="3"/>
  <c r="E43" i="3"/>
  <c r="E35" i="3"/>
  <c r="E27" i="3"/>
  <c r="E30" i="3"/>
  <c r="E23" i="3"/>
  <c r="E21" i="3"/>
  <c r="E8" i="2"/>
  <c r="E13" i="2"/>
  <c r="E17" i="2"/>
  <c r="E18" i="2"/>
  <c r="E21" i="2"/>
  <c r="E23" i="2"/>
  <c r="E25" i="2"/>
  <c r="E27" i="2"/>
  <c r="E30" i="2"/>
  <c r="E34" i="2"/>
  <c r="E37" i="2"/>
  <c r="E42" i="2"/>
  <c r="E45" i="2"/>
  <c r="BA48" i="1"/>
  <c r="BA47" i="1"/>
  <c r="AW48" i="1"/>
  <c r="AW47" i="1"/>
  <c r="AS48" i="1"/>
  <c r="AS47" i="1"/>
  <c r="AO48" i="1"/>
  <c r="AO47" i="1"/>
  <c r="AK48" i="1"/>
  <c r="AK47" i="1"/>
  <c r="AG48" i="1"/>
  <c r="AG47" i="1"/>
  <c r="AC48" i="1"/>
  <c r="AC47" i="1"/>
  <c r="Y48" i="1"/>
  <c r="Y47" i="1"/>
  <c r="I48" i="1"/>
  <c r="M48" i="1"/>
  <c r="Q48" i="1"/>
  <c r="I47" i="1"/>
  <c r="M47" i="1"/>
  <c r="Q47" i="1"/>
  <c r="U48" i="1"/>
  <c r="U47" i="1"/>
  <c r="Q51" i="1"/>
  <c r="I51" i="1"/>
  <c r="AS49" i="1" l="1"/>
  <c r="M49" i="1"/>
  <c r="U49" i="1"/>
  <c r="BA49" i="1"/>
  <c r="BA50" i="1" s="1"/>
  <c r="Q49" i="1"/>
  <c r="Y49" i="1"/>
  <c r="I49" i="1"/>
  <c r="I52" i="1" s="1"/>
  <c r="AC49" i="1"/>
  <c r="AW49" i="1"/>
  <c r="AW50" i="1" s="1"/>
  <c r="AK49" i="1"/>
  <c r="AO49" i="1"/>
  <c r="AG49" i="1"/>
  <c r="D23" i="1"/>
  <c r="D8" i="1"/>
  <c r="D42" i="1"/>
  <c r="D13" i="1"/>
  <c r="D18" i="1" l="1"/>
  <c r="D27" i="1"/>
  <c r="M51" i="1"/>
  <c r="M52" i="1" s="1"/>
  <c r="C51" i="1" l="1"/>
  <c r="D34" i="1"/>
  <c r="D30" i="1"/>
  <c r="D17" i="1"/>
  <c r="D21" i="1"/>
  <c r="D45" i="1"/>
  <c r="D37" i="1"/>
  <c r="C49" i="1"/>
  <c r="B50" i="1" s="1"/>
  <c r="D25" i="1"/>
  <c r="C50" i="1" l="1"/>
  <c r="D49" i="1"/>
  <c r="E34" i="1" s="1"/>
  <c r="E21" i="1" l="1"/>
  <c r="E45" i="1"/>
  <c r="E8" i="1"/>
  <c r="E23" i="1"/>
  <c r="E42" i="1"/>
  <c r="E13" i="1"/>
  <c r="E37" i="1"/>
  <c r="E49" i="1"/>
  <c r="E30" i="1"/>
  <c r="E25" i="1"/>
  <c r="E27" i="1"/>
  <c r="E18" i="1"/>
  <c r="E17" i="1"/>
</calcChain>
</file>

<file path=xl/sharedStrings.xml><?xml version="1.0" encoding="utf-8"?>
<sst xmlns="http://schemas.openxmlformats.org/spreadsheetml/2006/main" count="1639" uniqueCount="71">
  <si>
    <t>Osmocote 6-13-25,  40 x 100 g</t>
  </si>
  <si>
    <t>Osmocote 6-13-25,  24 x 500 g</t>
  </si>
  <si>
    <t xml:space="preserve">Osmocote 17-11-10,  40 x 100 g </t>
  </si>
  <si>
    <t xml:space="preserve">Osmocote 17-11-10,  24 x 500 g </t>
  </si>
  <si>
    <t xml:space="preserve">Osmocote 13-13-13,  40 x 100 g </t>
  </si>
  <si>
    <t xml:space="preserve">Osmocote 13-13-13,  24 x 500 g </t>
  </si>
  <si>
    <t>Pupuk Daun</t>
  </si>
  <si>
    <t>Gandapan Maxima,  40 x 200 g</t>
  </si>
  <si>
    <t>Gandapan Reginae,  40 x 250 g</t>
  </si>
  <si>
    <t>Gandapan Sublima,  40 x 250 g</t>
  </si>
  <si>
    <t>Gandasil B,  144 x 100 g</t>
  </si>
  <si>
    <t>Gandasil B,  24 x 500 g</t>
  </si>
  <si>
    <t>Gandasil D,  144 x 100 g</t>
  </si>
  <si>
    <t>Gandasil D,  24 x 500 g</t>
  </si>
  <si>
    <t>Mikrofid Zn, 50 x 100 g</t>
  </si>
  <si>
    <t>Dekorgan Plus,  24 x 500 cc</t>
  </si>
  <si>
    <t>Dekorgan Plus,  12 x 1 Lt</t>
  </si>
  <si>
    <t>Gandastar, 20 x 500 cc</t>
  </si>
  <si>
    <t>Gandastar, 12 x 1 Lt</t>
  </si>
  <si>
    <t>Mastofol Tristar,  20 x 500 cc</t>
  </si>
  <si>
    <t>Mastofol Tristar,  12 x 1 Lt</t>
  </si>
  <si>
    <t>Dekamon 1.2 G,  10 x 1 kg</t>
  </si>
  <si>
    <t>Dekamon 22.43 L,  48 x 100 cc  (Kaca)</t>
  </si>
  <si>
    <t>Dekamon 22.43 L,  20 x 500 cc</t>
  </si>
  <si>
    <t>Dekamon 22.43 L,  20 x 1000 cc</t>
  </si>
  <si>
    <t>Dekapirim 400 SC, 50 x 100 cc</t>
  </si>
  <si>
    <t>Dekapirim 400 SC, 20 x 500 cc</t>
  </si>
  <si>
    <t>Dekapirim 400 SC, 12 x 1000 cc</t>
  </si>
  <si>
    <t>Dektin 30 WG, 50 x 50 gr</t>
  </si>
  <si>
    <t>Dektin 30 WG, 20 x 200 gr</t>
  </si>
  <si>
    <t>Dektin 30 WG, 12 x 500 gr</t>
  </si>
  <si>
    <t>Masalgin 50 WP,  48 x 50 g</t>
  </si>
  <si>
    <t>Masalgin 50 WP,  24 x 100 g</t>
  </si>
  <si>
    <t>Masalgin 50 WP,  24 x 200 g</t>
  </si>
  <si>
    <t>Masalgin 50 WP,  12 x 500 g</t>
  </si>
  <si>
    <t>Velimek 52,5 WG, 50 x 50 gr</t>
  </si>
  <si>
    <t>Velimek 52,5 WG, 20 x 200 gr</t>
  </si>
  <si>
    <t>Velimek 52,5 WG, 12 x 500 gr</t>
  </si>
  <si>
    <t>Jumlah Uang Produk Pestisida</t>
  </si>
  <si>
    <t>Jumlah Uang Produk Pupuk</t>
  </si>
  <si>
    <t>TOTAL OMZET PUPUK &amp; PESTISIDA</t>
  </si>
  <si>
    <t xml:space="preserve">Osmocote 17-11-10, 40 x 100 g </t>
  </si>
  <si>
    <t xml:space="preserve">Osmocote 17-11-10, 24 x 500 g </t>
  </si>
  <si>
    <t xml:space="preserve">Dekastar 13-13-13, 40 x 100 g </t>
  </si>
  <si>
    <t xml:space="preserve">Dekastar 13-13-13, 24 x 500 g </t>
  </si>
  <si>
    <t xml:space="preserve">Osmocote 17-11-10 +TE,  40 x 100 g </t>
  </si>
  <si>
    <t xml:space="preserve">Osmocote 17-11-10 +TE,  24 x 500 g </t>
  </si>
  <si>
    <t xml:space="preserve">Dekastar 13-13-13 +TE,  40 x 100 g </t>
  </si>
  <si>
    <t xml:space="preserve">Dekastar 13-13-13 +TE,  24 x 500 g </t>
  </si>
  <si>
    <t>APRIL</t>
  </si>
  <si>
    <t>JAN</t>
  </si>
  <si>
    <t>PEB</t>
  </si>
  <si>
    <t>MAR</t>
  </si>
  <si>
    <t>MEI</t>
  </si>
  <si>
    <t xml:space="preserve">Osmoocte 13-13-13,  40 x 100 g </t>
  </si>
  <si>
    <t>SEP</t>
  </si>
  <si>
    <t>OKT</t>
  </si>
  <si>
    <t>DES</t>
  </si>
  <si>
    <t>JUNI</t>
  </si>
  <si>
    <t>JULI</t>
  </si>
  <si>
    <t>AGUS</t>
  </si>
  <si>
    <t>NOP</t>
  </si>
  <si>
    <t>Dekorgan Plus,  20 x 500 cc</t>
  </si>
  <si>
    <t>Dekamon 22.43 L,  12 x 1000 cc</t>
  </si>
  <si>
    <t>EVALUASI BERJALAN 2023</t>
  </si>
  <si>
    <t>EVALUASI BERJALAN 2024</t>
  </si>
  <si>
    <t>EVALUASI BERJALAN 2025</t>
  </si>
  <si>
    <t>Dimacide 400 EC, 20 x 500 cc</t>
  </si>
  <si>
    <t>Dekabond, 20 x 500 cc</t>
  </si>
  <si>
    <t xml:space="preserve">Dekamon 22.43 L,  50 x 100 cc </t>
  </si>
  <si>
    <t>Dekabond, 50 x 100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</si>
</sst>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8"/>
      <color rgb="FFFFFF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2" fillId="0" borderId="0" xfId="1" applyNumberFormat="1" applyFont="1"/>
    <xf numFmtId="165" fontId="0" fillId="0" borderId="0" xfId="1" applyNumberFormat="1" applyFont="1"/>
    <xf numFmtId="41" fontId="4" fillId="0" borderId="1" xfId="2" applyFont="1" applyBorder="1" applyAlignment="1">
      <alignment vertical="center"/>
    </xf>
    <xf numFmtId="164" fontId="5" fillId="0" borderId="0" xfId="1" applyNumberFormat="1" applyFont="1"/>
    <xf numFmtId="165" fontId="0" fillId="0" borderId="0" xfId="1" applyNumberFormat="1" applyFont="1" applyBorder="1"/>
    <xf numFmtId="164" fontId="0" fillId="0" borderId="0" xfId="1" applyNumberFormat="1" applyFont="1" applyBorder="1"/>
    <xf numFmtId="41" fontId="4" fillId="0" borderId="0" xfId="2" applyFont="1" applyBorder="1" applyAlignment="1">
      <alignment vertical="center"/>
    </xf>
    <xf numFmtId="164" fontId="5" fillId="3" borderId="0" xfId="1" applyNumberFormat="1" applyFont="1" applyFill="1"/>
    <xf numFmtId="164" fontId="0" fillId="3" borderId="0" xfId="1" applyNumberFormat="1" applyFont="1" applyFill="1"/>
    <xf numFmtId="164" fontId="6" fillId="0" borderId="0" xfId="1" applyNumberFormat="1" applyFont="1"/>
    <xf numFmtId="43" fontId="3" fillId="2" borderId="0" xfId="1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DC67-2F44-4965-A2C3-4D1FD3D368B8}">
  <dimension ref="B1:BA52"/>
  <sheetViews>
    <sheetView zoomScaleNormal="100" workbookViewId="0">
      <selection activeCell="L46" sqref="L46"/>
    </sheetView>
  </sheetViews>
  <sheetFormatPr defaultColWidth="9.140625" defaultRowHeight="15" x14ac:dyDescent="0.25"/>
  <cols>
    <col min="1" max="1" width="6.7109375" style="2" customWidth="1"/>
    <col min="2" max="2" width="35" style="2" customWidth="1"/>
    <col min="3" max="3" width="18.85546875" style="2" customWidth="1"/>
    <col min="4" max="4" width="19.140625" style="2" customWidth="1"/>
    <col min="5" max="5" width="9.140625" style="1"/>
    <col min="6" max="6" width="6.7109375" style="2" customWidth="1"/>
    <col min="7" max="7" width="6.28515625" style="2" customWidth="1"/>
    <col min="8" max="8" width="30.5703125" style="2" customWidth="1"/>
    <col min="9" max="9" width="14.5703125" style="2" customWidth="1"/>
    <col min="10" max="10" width="5.140625" style="2" customWidth="1"/>
    <col min="11" max="11" width="9.140625" style="2"/>
    <col min="12" max="12" width="31.28515625" style="2" customWidth="1"/>
    <col min="13" max="13" width="16.7109375" style="2" customWidth="1"/>
    <col min="14" max="14" width="5.42578125" style="2" customWidth="1"/>
    <col min="15" max="15" width="9.140625" style="2"/>
    <col min="16" max="16" width="34.42578125" style="2" customWidth="1"/>
    <col min="17" max="17" width="16.7109375" style="2" customWidth="1"/>
    <col min="18" max="18" width="4.28515625" style="2" customWidth="1"/>
    <col min="19" max="19" width="7.42578125" style="2" customWidth="1"/>
    <col min="20" max="20" width="32.28515625" style="2" customWidth="1"/>
    <col min="21" max="21" width="15.85546875" style="2" customWidth="1"/>
    <col min="22" max="22" width="3.7109375" style="2" customWidth="1"/>
    <col min="23" max="23" width="7.7109375" style="2" customWidth="1"/>
    <col min="24" max="24" width="32.28515625" style="2" customWidth="1"/>
    <col min="25" max="25" width="16.85546875" style="2" customWidth="1"/>
    <col min="26" max="26" width="5.42578125" style="2" customWidth="1"/>
    <col min="27" max="27" width="7.28515625" style="2" customWidth="1"/>
    <col min="28" max="28" width="31.5703125" style="2" customWidth="1"/>
    <col min="29" max="29" width="16" style="2" customWidth="1"/>
    <col min="30" max="30" width="5.28515625" style="2" customWidth="1"/>
    <col min="31" max="31" width="6.85546875" style="2" customWidth="1"/>
    <col min="32" max="32" width="31.140625" style="2" customWidth="1"/>
    <col min="33" max="33" width="15.85546875" style="2" customWidth="1"/>
    <col min="34" max="34" width="5.85546875" style="2" customWidth="1"/>
    <col min="35" max="35" width="7" style="2" customWidth="1"/>
    <col min="36" max="36" width="30.28515625" style="2" customWidth="1"/>
    <col min="37" max="37" width="16.42578125" style="2" customWidth="1"/>
    <col min="38" max="38" width="5.28515625" style="2" customWidth="1"/>
    <col min="39" max="39" width="8.28515625" style="2" customWidth="1"/>
    <col min="40" max="40" width="34.7109375" style="2" customWidth="1"/>
    <col min="41" max="41" width="16.7109375" style="2" customWidth="1"/>
    <col min="42" max="43" width="9.140625" style="2"/>
    <col min="44" max="44" width="35.5703125" style="2" customWidth="1"/>
    <col min="45" max="45" width="16.7109375" style="2" customWidth="1"/>
    <col min="46" max="47" width="9.140625" style="2"/>
    <col min="48" max="48" width="33" style="2" customWidth="1"/>
    <col min="49" max="49" width="20" style="2" customWidth="1"/>
    <col min="50" max="51" width="9.140625" style="2"/>
    <col min="52" max="52" width="37" style="2" customWidth="1"/>
    <col min="53" max="53" width="20.42578125" style="2" customWidth="1"/>
    <col min="54" max="16384" width="9.140625" style="2"/>
  </cols>
  <sheetData>
    <row r="1" spans="2:53" x14ac:dyDescent="0.25">
      <c r="B1" s="2" t="s">
        <v>64</v>
      </c>
      <c r="H1" s="3"/>
      <c r="I1" s="3" t="s">
        <v>50</v>
      </c>
      <c r="J1" s="3"/>
      <c r="K1" s="3"/>
      <c r="L1" s="3"/>
      <c r="M1" s="3" t="s">
        <v>51</v>
      </c>
      <c r="N1" s="3"/>
      <c r="Q1" s="2" t="s">
        <v>52</v>
      </c>
      <c r="U1" s="2" t="s">
        <v>49</v>
      </c>
      <c r="Y1" s="2" t="s">
        <v>53</v>
      </c>
      <c r="AC1" s="2" t="s">
        <v>58</v>
      </c>
      <c r="AG1" s="2" t="s">
        <v>59</v>
      </c>
      <c r="AK1" s="2" t="s">
        <v>60</v>
      </c>
      <c r="AO1" s="2" t="s">
        <v>55</v>
      </c>
      <c r="AS1" s="2" t="s">
        <v>56</v>
      </c>
      <c r="AW1" s="2" t="s">
        <v>61</v>
      </c>
      <c r="BA1" s="2" t="s">
        <v>57</v>
      </c>
    </row>
    <row r="2" spans="2:53" x14ac:dyDescent="0.25">
      <c r="H2" s="3"/>
      <c r="I2" s="3"/>
      <c r="J2" s="3"/>
      <c r="K2" s="3"/>
      <c r="L2" s="3"/>
      <c r="M2" s="3"/>
      <c r="N2" s="3"/>
    </row>
    <row r="3" spans="2:53" x14ac:dyDescent="0.25">
      <c r="B3" s="2" t="s">
        <v>0</v>
      </c>
      <c r="C3" s="2">
        <f>I3+M3+Q3+U3+Y3+AC3+AG3+AK3+AO3+AS3+AW3+BA3</f>
        <v>86231071.5</v>
      </c>
      <c r="G3" s="2">
        <v>1</v>
      </c>
      <c r="H3" s="3" t="s">
        <v>0</v>
      </c>
      <c r="I3" s="3">
        <v>10412910</v>
      </c>
      <c r="J3" s="3"/>
      <c r="K3" s="3">
        <v>1</v>
      </c>
      <c r="L3" s="3" t="s">
        <v>0</v>
      </c>
      <c r="M3" s="3">
        <v>0</v>
      </c>
      <c r="N3" s="3"/>
      <c r="O3" s="2">
        <v>1</v>
      </c>
      <c r="P3" s="2" t="s">
        <v>0</v>
      </c>
      <c r="Q3" s="2">
        <v>0</v>
      </c>
      <c r="S3" s="2">
        <v>1</v>
      </c>
      <c r="T3" s="2" t="s">
        <v>0</v>
      </c>
      <c r="U3" s="4">
        <v>4059270</v>
      </c>
      <c r="W3" s="2">
        <v>1</v>
      </c>
      <c r="X3" s="2" t="s">
        <v>0</v>
      </c>
      <c r="Y3" s="4">
        <v>2011986</v>
      </c>
      <c r="AA3" s="2">
        <v>1</v>
      </c>
      <c r="AB3" s="2" t="s">
        <v>0</v>
      </c>
      <c r="AC3" s="4">
        <v>4059270</v>
      </c>
      <c r="AE3" s="2">
        <v>1</v>
      </c>
      <c r="AF3" s="2" t="s">
        <v>0</v>
      </c>
      <c r="AG3" s="4">
        <v>0</v>
      </c>
      <c r="AI3" s="2">
        <v>1</v>
      </c>
      <c r="AJ3" s="2" t="s">
        <v>0</v>
      </c>
      <c r="AK3" s="2">
        <v>9389268</v>
      </c>
      <c r="AM3" s="2">
        <v>1</v>
      </c>
      <c r="AN3" s="2" t="s">
        <v>0</v>
      </c>
      <c r="AO3" s="2">
        <v>6951652.5</v>
      </c>
      <c r="AQ3" s="2">
        <v>1</v>
      </c>
      <c r="AR3" s="2" t="s">
        <v>0</v>
      </c>
      <c r="AS3" s="2">
        <v>4142242.5</v>
      </c>
      <c r="AU3" s="2">
        <v>1</v>
      </c>
      <c r="AV3" s="2" t="s">
        <v>0</v>
      </c>
      <c r="AW3" s="2">
        <v>23952967.5</v>
      </c>
      <c r="AY3" s="2">
        <v>1</v>
      </c>
      <c r="AZ3" s="2" t="s">
        <v>0</v>
      </c>
      <c r="BA3" s="2">
        <v>21251505</v>
      </c>
    </row>
    <row r="4" spans="2:53" x14ac:dyDescent="0.25">
      <c r="B4" s="2" t="s">
        <v>1</v>
      </c>
      <c r="C4" s="2">
        <f t="shared" ref="C4:C45" si="0">I4+M4+Q4+U4+Y4+AC4+AG4+AK4+AO4+AS4+AW4+BA4</f>
        <v>132685015.5</v>
      </c>
      <c r="G4" s="2">
        <v>2</v>
      </c>
      <c r="H4" s="3" t="s">
        <v>1</v>
      </c>
      <c r="I4" s="3">
        <v>0</v>
      </c>
      <c r="J4" s="3"/>
      <c r="K4" s="3">
        <v>2</v>
      </c>
      <c r="L4" s="3" t="s">
        <v>1</v>
      </c>
      <c r="M4" s="3">
        <v>0</v>
      </c>
      <c r="N4" s="3"/>
      <c r="O4" s="2">
        <v>2</v>
      </c>
      <c r="P4" s="2" t="s">
        <v>1</v>
      </c>
      <c r="Q4" s="2">
        <v>8348310</v>
      </c>
      <c r="S4" s="2">
        <v>2</v>
      </c>
      <c r="T4" s="2" t="s">
        <v>1</v>
      </c>
      <c r="U4" s="4">
        <v>1451880</v>
      </c>
      <c r="W4" s="2">
        <v>2</v>
      </c>
      <c r="X4" s="2" t="s">
        <v>1</v>
      </c>
      <c r="Y4" s="4">
        <v>11397258</v>
      </c>
      <c r="AA4" s="2">
        <v>2</v>
      </c>
      <c r="AB4" s="2" t="s">
        <v>1</v>
      </c>
      <c r="AC4" s="4">
        <v>6896430</v>
      </c>
      <c r="AE4" s="2">
        <v>2</v>
      </c>
      <c r="AF4" s="2" t="s">
        <v>1</v>
      </c>
      <c r="AG4" s="4">
        <v>8711280</v>
      </c>
      <c r="AI4" s="2">
        <v>2</v>
      </c>
      <c r="AJ4" s="2" t="s">
        <v>1</v>
      </c>
      <c r="AK4" s="2">
        <v>6896430</v>
      </c>
      <c r="AM4" s="2">
        <v>2</v>
      </c>
      <c r="AN4" s="2" t="s">
        <v>1</v>
      </c>
      <c r="AO4" s="2">
        <v>7259400</v>
      </c>
      <c r="AQ4" s="2">
        <v>2</v>
      </c>
      <c r="AR4" s="2" t="s">
        <v>1</v>
      </c>
      <c r="AS4" s="2">
        <v>4297365</v>
      </c>
      <c r="AU4" s="2">
        <v>2</v>
      </c>
      <c r="AV4" s="2" t="s">
        <v>1</v>
      </c>
      <c r="AW4" s="2">
        <v>56310300</v>
      </c>
      <c r="AY4" s="2">
        <v>2</v>
      </c>
      <c r="AZ4" s="2" t="s">
        <v>1</v>
      </c>
      <c r="BA4" s="2">
        <v>21116362.5</v>
      </c>
    </row>
    <row r="5" spans="2:53" x14ac:dyDescent="0.25">
      <c r="B5" s="2" t="s">
        <v>2</v>
      </c>
      <c r="C5" s="2">
        <f t="shared" si="0"/>
        <v>321160407</v>
      </c>
      <c r="G5" s="2">
        <v>4</v>
      </c>
      <c r="H5" s="3" t="s">
        <v>2</v>
      </c>
      <c r="I5" s="3">
        <v>0</v>
      </c>
      <c r="J5" s="3"/>
      <c r="K5" s="3">
        <v>4</v>
      </c>
      <c r="L5" s="3" t="s">
        <v>41</v>
      </c>
      <c r="M5" s="3">
        <v>27206100</v>
      </c>
      <c r="N5" s="3"/>
      <c r="O5" s="2">
        <v>4</v>
      </c>
      <c r="P5" s="2" t="s">
        <v>45</v>
      </c>
      <c r="Q5" s="2">
        <v>21120525</v>
      </c>
      <c r="S5" s="2">
        <v>4</v>
      </c>
      <c r="T5" s="2" t="s">
        <v>2</v>
      </c>
      <c r="U5" s="4">
        <v>21836475</v>
      </c>
      <c r="W5" s="2">
        <v>4</v>
      </c>
      <c r="X5" s="2" t="s">
        <v>2</v>
      </c>
      <c r="Y5" s="4">
        <v>37945350</v>
      </c>
      <c r="AA5" s="2">
        <v>4</v>
      </c>
      <c r="AB5" s="2" t="s">
        <v>2</v>
      </c>
      <c r="AC5" s="4">
        <v>17719762.5</v>
      </c>
      <c r="AE5" s="2">
        <v>4</v>
      </c>
      <c r="AF5" s="2" t="s">
        <v>2</v>
      </c>
      <c r="AG5" s="4">
        <v>6801525</v>
      </c>
      <c r="AI5" s="2">
        <v>4</v>
      </c>
      <c r="AJ5" s="2" t="s">
        <v>2</v>
      </c>
      <c r="AK5" s="2">
        <v>33470662.5</v>
      </c>
      <c r="AM5" s="2">
        <v>4</v>
      </c>
      <c r="AN5" s="2" t="s">
        <v>2</v>
      </c>
      <c r="AO5" s="2">
        <v>37724460</v>
      </c>
      <c r="AQ5" s="2">
        <v>4</v>
      </c>
      <c r="AR5" s="2" t="s">
        <v>2</v>
      </c>
      <c r="AS5" s="2">
        <v>35423430</v>
      </c>
      <c r="AU5" s="2">
        <v>4</v>
      </c>
      <c r="AV5" s="2" t="s">
        <v>2</v>
      </c>
      <c r="AW5" s="2">
        <v>63835212</v>
      </c>
      <c r="AY5" s="2">
        <v>4</v>
      </c>
      <c r="AZ5" s="2" t="s">
        <v>2</v>
      </c>
      <c r="BA5" s="2">
        <v>18076905</v>
      </c>
    </row>
    <row r="6" spans="2:53" x14ac:dyDescent="0.25">
      <c r="B6" s="2" t="s">
        <v>3</v>
      </c>
      <c r="C6" s="2">
        <f t="shared" si="0"/>
        <v>1015691736</v>
      </c>
      <c r="G6" s="2">
        <v>5</v>
      </c>
      <c r="H6" s="3" t="s">
        <v>3</v>
      </c>
      <c r="I6" s="3">
        <v>15251400</v>
      </c>
      <c r="J6" s="3"/>
      <c r="K6" s="3">
        <v>5</v>
      </c>
      <c r="L6" s="3" t="s">
        <v>42</v>
      </c>
      <c r="M6" s="3">
        <v>68097501</v>
      </c>
      <c r="N6" s="3"/>
      <c r="O6" s="2">
        <v>5</v>
      </c>
      <c r="P6" s="2" t="s">
        <v>46</v>
      </c>
      <c r="Q6" s="2">
        <v>0</v>
      </c>
      <c r="S6" s="2">
        <v>5</v>
      </c>
      <c r="T6" s="2" t="s">
        <v>3</v>
      </c>
      <c r="U6" s="4">
        <v>0</v>
      </c>
      <c r="W6" s="2">
        <v>5</v>
      </c>
      <c r="X6" s="2" t="s">
        <v>3</v>
      </c>
      <c r="Y6" s="4">
        <v>144888300</v>
      </c>
      <c r="AA6" s="2">
        <v>5</v>
      </c>
      <c r="AB6" s="2" t="s">
        <v>3</v>
      </c>
      <c r="AC6" s="4">
        <v>0</v>
      </c>
      <c r="AE6" s="2">
        <v>5</v>
      </c>
      <c r="AF6" s="2" t="s">
        <v>3</v>
      </c>
      <c r="AG6" s="4">
        <v>218476305</v>
      </c>
      <c r="AI6" s="2">
        <v>5</v>
      </c>
      <c r="AJ6" s="2" t="s">
        <v>3</v>
      </c>
      <c r="AK6" s="2">
        <v>201318480</v>
      </c>
      <c r="AM6" s="2">
        <v>5</v>
      </c>
      <c r="AN6" s="2" t="s">
        <v>3</v>
      </c>
      <c r="AO6" s="2">
        <v>95321250</v>
      </c>
      <c r="AQ6" s="2">
        <v>5</v>
      </c>
      <c r="AR6" s="2" t="s">
        <v>3</v>
      </c>
      <c r="AS6" s="2">
        <v>124108545</v>
      </c>
      <c r="AU6" s="2">
        <v>5</v>
      </c>
      <c r="AV6" s="2" t="s">
        <v>3</v>
      </c>
      <c r="AW6" s="2">
        <v>140448855</v>
      </c>
      <c r="AY6" s="2">
        <v>5</v>
      </c>
      <c r="AZ6" s="2" t="s">
        <v>3</v>
      </c>
      <c r="BA6" s="2">
        <v>7781100</v>
      </c>
    </row>
    <row r="7" spans="2:53" x14ac:dyDescent="0.25">
      <c r="B7" s="2" t="s">
        <v>4</v>
      </c>
      <c r="C7" s="2">
        <f t="shared" si="0"/>
        <v>33319702.5</v>
      </c>
      <c r="G7" s="2">
        <v>8</v>
      </c>
      <c r="H7" s="3" t="s">
        <v>4</v>
      </c>
      <c r="I7" s="3">
        <v>0</v>
      </c>
      <c r="J7" s="3"/>
      <c r="K7" s="3">
        <v>8</v>
      </c>
      <c r="L7" s="3" t="s">
        <v>43</v>
      </c>
      <c r="M7" s="3">
        <v>0</v>
      </c>
      <c r="N7" s="3"/>
      <c r="O7" s="2">
        <v>8</v>
      </c>
      <c r="P7" s="2" t="s">
        <v>47</v>
      </c>
      <c r="Q7" s="2">
        <v>715950</v>
      </c>
      <c r="S7" s="2">
        <v>8</v>
      </c>
      <c r="T7" s="2" t="s">
        <v>4</v>
      </c>
      <c r="U7" s="4">
        <v>715950</v>
      </c>
      <c r="W7" s="2">
        <v>8</v>
      </c>
      <c r="X7" s="2" t="s">
        <v>4</v>
      </c>
      <c r="Y7" s="4">
        <v>0</v>
      </c>
      <c r="AA7" s="2">
        <v>8</v>
      </c>
      <c r="AB7" s="2" t="s">
        <v>4</v>
      </c>
      <c r="AC7" s="4">
        <v>715950</v>
      </c>
      <c r="AE7" s="2">
        <v>8</v>
      </c>
      <c r="AF7" s="2" t="s">
        <v>54</v>
      </c>
      <c r="AG7" s="4">
        <v>0</v>
      </c>
      <c r="AJ7" s="2" t="s">
        <v>4</v>
      </c>
      <c r="AK7" s="2">
        <v>1431900</v>
      </c>
      <c r="AN7" s="2" t="s">
        <v>54</v>
      </c>
      <c r="AO7" s="2">
        <v>10202287.5</v>
      </c>
      <c r="AR7" s="2" t="s">
        <v>54</v>
      </c>
      <c r="AS7" s="2">
        <v>1460760</v>
      </c>
      <c r="AV7" s="2" t="s">
        <v>54</v>
      </c>
      <c r="AW7" s="2">
        <v>6938610</v>
      </c>
      <c r="AZ7" s="2" t="s">
        <v>54</v>
      </c>
      <c r="BA7" s="2">
        <v>11138295</v>
      </c>
    </row>
    <row r="8" spans="2:53" x14ac:dyDescent="0.25">
      <c r="B8" s="2" t="s">
        <v>5</v>
      </c>
      <c r="C8" s="2">
        <f t="shared" si="0"/>
        <v>142374150</v>
      </c>
      <c r="D8" s="2">
        <f>SUM(C3:C8)</f>
        <v>1731462082.5</v>
      </c>
      <c r="E8" s="1">
        <f>D8/D$49*100</f>
        <v>2.1294270072198427</v>
      </c>
      <c r="G8" s="2">
        <v>9</v>
      </c>
      <c r="H8" s="3" t="s">
        <v>5</v>
      </c>
      <c r="I8" s="3">
        <v>7244415</v>
      </c>
      <c r="J8" s="3"/>
      <c r="K8" s="3">
        <v>9</v>
      </c>
      <c r="L8" s="3" t="s">
        <v>44</v>
      </c>
      <c r="M8" s="3">
        <v>0</v>
      </c>
      <c r="N8" s="3"/>
      <c r="O8" s="2">
        <v>9</v>
      </c>
      <c r="P8" s="2" t="s">
        <v>48</v>
      </c>
      <c r="Q8" s="2">
        <v>16013970</v>
      </c>
      <c r="S8" s="2">
        <v>9</v>
      </c>
      <c r="T8" s="2" t="s">
        <v>5</v>
      </c>
      <c r="U8" s="4">
        <v>1525140</v>
      </c>
      <c r="W8" s="2">
        <v>9</v>
      </c>
      <c r="X8" s="2" t="s">
        <v>5</v>
      </c>
      <c r="Y8" s="4">
        <v>36222075</v>
      </c>
      <c r="AA8" s="2">
        <v>9</v>
      </c>
      <c r="AB8" s="2" t="s">
        <v>5</v>
      </c>
      <c r="AC8" s="4">
        <v>22495815</v>
      </c>
      <c r="AE8" s="2">
        <v>9</v>
      </c>
      <c r="AF8" s="2" t="s">
        <v>5</v>
      </c>
      <c r="AG8" s="4">
        <v>8769555</v>
      </c>
      <c r="AJ8" s="2" t="s">
        <v>5</v>
      </c>
      <c r="AK8" s="2">
        <v>16013970</v>
      </c>
      <c r="AN8" s="2" t="s">
        <v>5</v>
      </c>
      <c r="AO8" s="2">
        <v>7244415</v>
      </c>
      <c r="AR8" s="2" t="s">
        <v>5</v>
      </c>
      <c r="AS8" s="2">
        <v>3112440</v>
      </c>
      <c r="AV8" s="2" t="s">
        <v>5</v>
      </c>
      <c r="AW8" s="2">
        <v>7392045</v>
      </c>
      <c r="AZ8" s="2" t="s">
        <v>5</v>
      </c>
      <c r="BA8" s="2">
        <v>16340310</v>
      </c>
    </row>
    <row r="9" spans="2:53" x14ac:dyDescent="0.25">
      <c r="C9" s="2">
        <f t="shared" si="0"/>
        <v>0</v>
      </c>
      <c r="G9" s="2" t="s">
        <v>6</v>
      </c>
      <c r="H9" s="3"/>
      <c r="I9" s="3"/>
      <c r="J9" s="3"/>
      <c r="K9" s="3" t="s">
        <v>6</v>
      </c>
      <c r="L9" s="3"/>
      <c r="M9" s="3"/>
      <c r="N9" s="3"/>
      <c r="O9" s="2" t="s">
        <v>6</v>
      </c>
      <c r="S9" s="2" t="s">
        <v>6</v>
      </c>
      <c r="W9" s="2" t="s">
        <v>6</v>
      </c>
      <c r="AA9" s="2" t="s">
        <v>6</v>
      </c>
      <c r="AE9" s="2" t="s">
        <v>6</v>
      </c>
      <c r="AI9" s="2" t="s">
        <v>6</v>
      </c>
      <c r="AM9" s="2" t="s">
        <v>6</v>
      </c>
    </row>
    <row r="10" spans="2:53" x14ac:dyDescent="0.25">
      <c r="C10" s="2">
        <f t="shared" si="0"/>
        <v>0</v>
      </c>
      <c r="H10" s="3"/>
      <c r="I10" s="3"/>
      <c r="J10" s="3"/>
      <c r="K10" s="3"/>
      <c r="L10" s="3"/>
      <c r="M10" s="3"/>
      <c r="N10" s="3"/>
    </row>
    <row r="11" spans="2:53" x14ac:dyDescent="0.25">
      <c r="B11" s="2" t="s">
        <v>7</v>
      </c>
      <c r="C11" s="2">
        <f t="shared" si="0"/>
        <v>43250040</v>
      </c>
      <c r="G11" s="2">
        <v>12</v>
      </c>
      <c r="H11" s="3" t="s">
        <v>7</v>
      </c>
      <c r="I11" s="3">
        <v>0</v>
      </c>
      <c r="J11" s="3"/>
      <c r="K11" s="3">
        <v>12</v>
      </c>
      <c r="L11" s="3" t="s">
        <v>7</v>
      </c>
      <c r="M11" s="3">
        <v>0</v>
      </c>
      <c r="N11" s="3"/>
      <c r="O11" s="2">
        <v>12</v>
      </c>
      <c r="P11" s="2" t="s">
        <v>7</v>
      </c>
      <c r="Q11" s="2">
        <v>648240</v>
      </c>
      <c r="S11" s="2">
        <v>12</v>
      </c>
      <c r="T11" s="2" t="s">
        <v>7</v>
      </c>
      <c r="U11" s="4">
        <v>0</v>
      </c>
      <c r="W11" s="2">
        <v>12</v>
      </c>
      <c r="X11" s="2" t="s">
        <v>7</v>
      </c>
      <c r="Y11" s="2">
        <v>19447200</v>
      </c>
      <c r="AA11" s="2">
        <v>12</v>
      </c>
      <c r="AB11" s="2" t="s">
        <v>7</v>
      </c>
      <c r="AC11" s="4">
        <v>0</v>
      </c>
      <c r="AE11" s="2">
        <v>12</v>
      </c>
      <c r="AF11" s="2" t="s">
        <v>7</v>
      </c>
      <c r="AG11" s="2">
        <v>0</v>
      </c>
      <c r="AI11" s="2">
        <v>7</v>
      </c>
      <c r="AJ11" s="2" t="s">
        <v>7</v>
      </c>
      <c r="AM11" s="2">
        <v>7</v>
      </c>
      <c r="AN11" s="2" t="s">
        <v>7</v>
      </c>
      <c r="AO11" s="2">
        <v>0</v>
      </c>
      <c r="AQ11" s="2">
        <v>7</v>
      </c>
      <c r="AR11" s="2" t="s">
        <v>7</v>
      </c>
      <c r="AS11" s="2">
        <v>9923400</v>
      </c>
      <c r="AU11" s="2">
        <v>7</v>
      </c>
      <c r="AV11" s="2" t="s">
        <v>7</v>
      </c>
      <c r="AW11" s="2">
        <v>0</v>
      </c>
      <c r="AY11" s="2">
        <v>7</v>
      </c>
      <c r="AZ11" s="2" t="s">
        <v>7</v>
      </c>
      <c r="BA11" s="2">
        <v>13231200</v>
      </c>
    </row>
    <row r="12" spans="2:53" x14ac:dyDescent="0.25">
      <c r="B12" s="2" t="s">
        <v>8</v>
      </c>
      <c r="C12" s="2">
        <f t="shared" si="0"/>
        <v>190028670</v>
      </c>
      <c r="G12" s="2">
        <v>14</v>
      </c>
      <c r="H12" s="3" t="s">
        <v>8</v>
      </c>
      <c r="I12" s="3">
        <v>0</v>
      </c>
      <c r="J12" s="3"/>
      <c r="K12" s="3">
        <v>14</v>
      </c>
      <c r="L12" s="3" t="s">
        <v>8</v>
      </c>
      <c r="M12" s="3">
        <v>0</v>
      </c>
      <c r="N12" s="3"/>
      <c r="O12" s="2">
        <v>14</v>
      </c>
      <c r="P12" s="2" t="s">
        <v>8</v>
      </c>
      <c r="Q12" s="2">
        <v>29276250</v>
      </c>
      <c r="S12" s="2">
        <v>14</v>
      </c>
      <c r="T12" s="2" t="s">
        <v>8</v>
      </c>
      <c r="U12" s="4">
        <v>0</v>
      </c>
      <c r="W12" s="2">
        <v>14</v>
      </c>
      <c r="X12" s="2" t="s">
        <v>8</v>
      </c>
      <c r="Y12" s="2">
        <v>0</v>
      </c>
      <c r="AA12" s="2">
        <v>14</v>
      </c>
      <c r="AB12" s="2" t="s">
        <v>8</v>
      </c>
      <c r="AC12" s="4">
        <v>58552500</v>
      </c>
      <c r="AE12" s="2">
        <v>14</v>
      </c>
      <c r="AF12" s="2" t="s">
        <v>8</v>
      </c>
      <c r="AG12" s="2">
        <v>0</v>
      </c>
      <c r="AI12" s="2">
        <v>9</v>
      </c>
      <c r="AJ12" s="2" t="s">
        <v>8</v>
      </c>
      <c r="AK12" s="2">
        <v>0</v>
      </c>
      <c r="AM12" s="2">
        <v>9</v>
      </c>
      <c r="AN12" s="2" t="s">
        <v>8</v>
      </c>
      <c r="AO12" s="2">
        <v>29276250</v>
      </c>
      <c r="AQ12" s="2">
        <v>9</v>
      </c>
      <c r="AR12" s="2" t="s">
        <v>8</v>
      </c>
      <c r="AS12" s="2">
        <v>54991620</v>
      </c>
      <c r="AU12" s="2">
        <v>9</v>
      </c>
      <c r="AV12" s="2" t="s">
        <v>8</v>
      </c>
      <c r="AW12" s="2">
        <v>0</v>
      </c>
      <c r="AY12" s="2">
        <v>9</v>
      </c>
      <c r="AZ12" s="2" t="s">
        <v>8</v>
      </c>
      <c r="BA12" s="2">
        <v>17932050</v>
      </c>
    </row>
    <row r="13" spans="2:53" x14ac:dyDescent="0.25">
      <c r="B13" s="2" t="s">
        <v>9</v>
      </c>
      <c r="C13" s="2">
        <f t="shared" si="0"/>
        <v>283334160</v>
      </c>
      <c r="D13" s="2">
        <f>SUM(C11:C13)</f>
        <v>516612870</v>
      </c>
      <c r="E13" s="1">
        <f>D13/D$49*100</f>
        <v>0.63535286667494983</v>
      </c>
      <c r="G13" s="2">
        <v>16</v>
      </c>
      <c r="H13" s="3" t="s">
        <v>9</v>
      </c>
      <c r="I13" s="3">
        <v>0</v>
      </c>
      <c r="J13" s="3"/>
      <c r="K13" s="3">
        <v>16</v>
      </c>
      <c r="L13" s="3" t="s">
        <v>9</v>
      </c>
      <c r="M13" s="3">
        <v>0</v>
      </c>
      <c r="N13" s="3"/>
      <c r="O13" s="2">
        <v>16</v>
      </c>
      <c r="P13" s="2" t="s">
        <v>9</v>
      </c>
      <c r="Q13" s="2">
        <v>43929360</v>
      </c>
      <c r="S13" s="2">
        <v>16</v>
      </c>
      <c r="T13" s="2" t="s">
        <v>9</v>
      </c>
      <c r="U13" s="4">
        <v>2584080</v>
      </c>
      <c r="W13" s="2">
        <v>16</v>
      </c>
      <c r="X13" s="2" t="s">
        <v>9</v>
      </c>
      <c r="Y13" s="2">
        <v>2584080</v>
      </c>
      <c r="AA13" s="2">
        <v>16</v>
      </c>
      <c r="AB13" s="2" t="s">
        <v>9</v>
      </c>
      <c r="AC13" s="4">
        <v>43068000</v>
      </c>
      <c r="AE13" s="2">
        <v>16</v>
      </c>
      <c r="AF13" s="2" t="s">
        <v>9</v>
      </c>
      <c r="AG13" s="2">
        <v>0</v>
      </c>
      <c r="AI13" s="2">
        <v>11</v>
      </c>
      <c r="AJ13" s="2" t="s">
        <v>9</v>
      </c>
      <c r="AK13" s="2">
        <v>43929360</v>
      </c>
      <c r="AM13" s="2">
        <v>11</v>
      </c>
      <c r="AN13" s="2" t="s">
        <v>9</v>
      </c>
      <c r="AO13" s="2">
        <v>64602000</v>
      </c>
      <c r="AQ13" s="2">
        <v>11</v>
      </c>
      <c r="AR13" s="2" t="s">
        <v>9</v>
      </c>
      <c r="AS13" s="2">
        <v>69450480</v>
      </c>
      <c r="AU13" s="2">
        <v>11</v>
      </c>
      <c r="AV13" s="2" t="s">
        <v>9</v>
      </c>
      <c r="AW13" s="2">
        <v>0</v>
      </c>
      <c r="AY13" s="2">
        <v>11</v>
      </c>
      <c r="AZ13" s="2" t="s">
        <v>9</v>
      </c>
      <c r="BA13" s="2">
        <v>13186800</v>
      </c>
    </row>
    <row r="14" spans="2:53" x14ac:dyDescent="0.25">
      <c r="B14" s="2" t="s">
        <v>10</v>
      </c>
      <c r="C14" s="2">
        <f t="shared" si="0"/>
        <v>16183844977.200001</v>
      </c>
      <c r="G14" s="2">
        <v>18</v>
      </c>
      <c r="H14" s="3" t="s">
        <v>10</v>
      </c>
      <c r="I14" s="3">
        <v>60155340</v>
      </c>
      <c r="J14" s="3"/>
      <c r="K14" s="3">
        <v>18</v>
      </c>
      <c r="L14" s="3" t="s">
        <v>10</v>
      </c>
      <c r="M14" s="3">
        <v>1107349320</v>
      </c>
      <c r="N14" s="3"/>
      <c r="O14" s="2">
        <v>18</v>
      </c>
      <c r="P14" s="2" t="s">
        <v>10</v>
      </c>
      <c r="Q14" s="2">
        <v>1301319600</v>
      </c>
      <c r="S14" s="2">
        <v>18</v>
      </c>
      <c r="T14" s="2" t="s">
        <v>10</v>
      </c>
      <c r="U14" s="4">
        <v>1649975040</v>
      </c>
      <c r="W14" s="2">
        <v>18</v>
      </c>
      <c r="X14" s="2" t="s">
        <v>10</v>
      </c>
      <c r="Y14" s="2">
        <v>1559005434</v>
      </c>
      <c r="AA14" s="2">
        <v>18</v>
      </c>
      <c r="AB14" s="2" t="s">
        <v>10</v>
      </c>
      <c r="AC14" s="4">
        <v>1138924735.2</v>
      </c>
      <c r="AE14" s="2">
        <v>18</v>
      </c>
      <c r="AF14" s="2" t="s">
        <v>10</v>
      </c>
      <c r="AG14" s="4">
        <v>642680010</v>
      </c>
      <c r="AI14" s="2">
        <v>13</v>
      </c>
      <c r="AJ14" s="2" t="s">
        <v>10</v>
      </c>
      <c r="AK14" s="2">
        <v>2819689488</v>
      </c>
      <c r="AM14" s="2">
        <v>13</v>
      </c>
      <c r="AN14" s="2" t="s">
        <v>10</v>
      </c>
      <c r="AO14" s="2">
        <v>1972235790</v>
      </c>
      <c r="AQ14" s="2">
        <v>13</v>
      </c>
      <c r="AR14" s="2" t="s">
        <v>10</v>
      </c>
      <c r="AS14" s="2">
        <v>0</v>
      </c>
      <c r="AU14" s="2">
        <v>13</v>
      </c>
      <c r="AV14" s="2" t="s">
        <v>10</v>
      </c>
      <c r="AW14" s="4">
        <v>119053050</v>
      </c>
      <c r="AY14" s="2">
        <v>13</v>
      </c>
      <c r="AZ14" s="2" t="s">
        <v>10</v>
      </c>
      <c r="BA14">
        <v>3813457170</v>
      </c>
    </row>
    <row r="15" spans="2:53" x14ac:dyDescent="0.25">
      <c r="B15" s="2" t="s">
        <v>11</v>
      </c>
      <c r="C15" s="2">
        <f t="shared" si="0"/>
        <v>26675410776</v>
      </c>
      <c r="G15" s="2">
        <v>19</v>
      </c>
      <c r="H15" s="3" t="s">
        <v>11</v>
      </c>
      <c r="I15" s="3">
        <v>184348800</v>
      </c>
      <c r="J15" s="3"/>
      <c r="K15" s="3">
        <v>19</v>
      </c>
      <c r="L15" s="3" t="s">
        <v>11</v>
      </c>
      <c r="M15" s="3">
        <v>922704150</v>
      </c>
      <c r="N15" s="3"/>
      <c r="O15" s="2">
        <v>19</v>
      </c>
      <c r="P15" s="2" t="s">
        <v>11</v>
      </c>
      <c r="Q15" s="2">
        <v>1997592075</v>
      </c>
      <c r="S15" s="2">
        <v>19</v>
      </c>
      <c r="T15" s="2" t="s">
        <v>11</v>
      </c>
      <c r="U15" s="4">
        <v>1819484250</v>
      </c>
      <c r="W15" s="2">
        <v>19</v>
      </c>
      <c r="X15" s="2" t="s">
        <v>11</v>
      </c>
      <c r="Y15" s="2">
        <v>2545069605</v>
      </c>
      <c r="AA15" s="2">
        <v>19</v>
      </c>
      <c r="AB15" s="2" t="s">
        <v>11</v>
      </c>
      <c r="AC15" s="4">
        <v>3056771946</v>
      </c>
      <c r="AE15" s="2">
        <v>19</v>
      </c>
      <c r="AF15" s="2" t="s">
        <v>11</v>
      </c>
      <c r="AG15" s="4">
        <v>1928365260</v>
      </c>
      <c r="AI15" s="2">
        <v>14</v>
      </c>
      <c r="AJ15" s="2" t="s">
        <v>11</v>
      </c>
      <c r="AK15" s="2">
        <v>5565893535</v>
      </c>
      <c r="AM15" s="2">
        <v>14</v>
      </c>
      <c r="AN15" s="2" t="s">
        <v>11</v>
      </c>
      <c r="AO15" s="2">
        <v>4373483250</v>
      </c>
      <c r="AQ15" s="2">
        <v>14</v>
      </c>
      <c r="AR15" s="2" t="s">
        <v>11</v>
      </c>
      <c r="AS15" s="2">
        <v>0</v>
      </c>
      <c r="AU15" s="2">
        <v>14</v>
      </c>
      <c r="AV15" s="2" t="s">
        <v>11</v>
      </c>
      <c r="AW15" s="4">
        <v>420965835</v>
      </c>
      <c r="AY15" s="2">
        <v>14</v>
      </c>
      <c r="AZ15" s="2" t="s">
        <v>11</v>
      </c>
      <c r="BA15">
        <v>3860732070</v>
      </c>
    </row>
    <row r="16" spans="2:53" x14ac:dyDescent="0.25">
      <c r="B16" s="2" t="s">
        <v>12</v>
      </c>
      <c r="C16" s="2">
        <f t="shared" si="0"/>
        <v>9791660227.2000008</v>
      </c>
      <c r="G16" s="2">
        <v>20</v>
      </c>
      <c r="H16" s="3" t="s">
        <v>12</v>
      </c>
      <c r="I16" s="3">
        <v>53066880</v>
      </c>
      <c r="J16" s="3"/>
      <c r="K16" s="3">
        <v>20</v>
      </c>
      <c r="L16" s="3" t="s">
        <v>12</v>
      </c>
      <c r="M16" s="3">
        <v>786053160</v>
      </c>
      <c r="N16" s="3"/>
      <c r="O16" s="2">
        <v>20</v>
      </c>
      <c r="P16" s="2" t="s">
        <v>12</v>
      </c>
      <c r="Q16" s="2">
        <v>1278027360</v>
      </c>
      <c r="S16" s="2">
        <v>20</v>
      </c>
      <c r="T16" s="2" t="s">
        <v>12</v>
      </c>
      <c r="U16" s="4">
        <v>1226066040</v>
      </c>
      <c r="W16" s="2">
        <v>20</v>
      </c>
      <c r="X16" s="2" t="s">
        <v>12</v>
      </c>
      <c r="Y16" s="2">
        <v>619555824</v>
      </c>
      <c r="AA16" s="2">
        <v>20</v>
      </c>
      <c r="AB16" s="2" t="s">
        <v>12</v>
      </c>
      <c r="AC16" s="4">
        <v>336222907.19999999</v>
      </c>
      <c r="AE16" s="2">
        <v>20</v>
      </c>
      <c r="AF16" s="2" t="s">
        <v>12</v>
      </c>
      <c r="AG16" s="4">
        <v>498054780</v>
      </c>
      <c r="AI16" s="2">
        <v>15</v>
      </c>
      <c r="AJ16" s="2" t="s">
        <v>12</v>
      </c>
      <c r="AK16" s="2">
        <v>2253794616</v>
      </c>
      <c r="AM16" s="2">
        <v>15</v>
      </c>
      <c r="AN16" s="2" t="s">
        <v>12</v>
      </c>
      <c r="AO16" s="2">
        <v>1723015260</v>
      </c>
      <c r="AQ16" s="2">
        <v>15</v>
      </c>
      <c r="AR16" s="2" t="s">
        <v>12</v>
      </c>
      <c r="AS16" s="2">
        <v>1127760</v>
      </c>
      <c r="AU16" s="2">
        <v>15</v>
      </c>
      <c r="AV16" s="2" t="s">
        <v>12</v>
      </c>
      <c r="AW16" s="4">
        <v>0</v>
      </c>
      <c r="AY16" s="2">
        <v>15</v>
      </c>
      <c r="AZ16" s="2" t="s">
        <v>12</v>
      </c>
      <c r="BA16">
        <v>1016675640</v>
      </c>
    </row>
    <row r="17" spans="2:53" x14ac:dyDescent="0.25">
      <c r="B17" s="2" t="s">
        <v>13</v>
      </c>
      <c r="C17" s="2">
        <f t="shared" si="0"/>
        <v>15977271535.200001</v>
      </c>
      <c r="D17" s="2">
        <f>SUM(C14:C17)</f>
        <v>68628187515.599991</v>
      </c>
      <c r="E17" s="1">
        <f>D17/D$49*100</f>
        <v>84.401915253761402</v>
      </c>
      <c r="G17" s="2">
        <v>21</v>
      </c>
      <c r="H17" s="3" t="s">
        <v>13</v>
      </c>
      <c r="I17" s="3">
        <v>167319180</v>
      </c>
      <c r="J17" s="3"/>
      <c r="K17" s="3">
        <v>21</v>
      </c>
      <c r="L17" s="3" t="s">
        <v>13</v>
      </c>
      <c r="M17" s="3">
        <v>536456340</v>
      </c>
      <c r="N17" s="3"/>
      <c r="O17" s="2">
        <v>21</v>
      </c>
      <c r="P17" s="2" t="s">
        <v>13</v>
      </c>
      <c r="Q17" s="2">
        <v>1428681555</v>
      </c>
      <c r="S17" s="2">
        <v>21</v>
      </c>
      <c r="T17" s="2" t="s">
        <v>13</v>
      </c>
      <c r="U17" s="4">
        <v>1142772750</v>
      </c>
      <c r="W17" s="2">
        <v>21</v>
      </c>
      <c r="X17" s="2" t="s">
        <v>13</v>
      </c>
      <c r="Y17" s="2">
        <v>2180324160</v>
      </c>
      <c r="AA17" s="2">
        <v>21</v>
      </c>
      <c r="AB17" s="2" t="s">
        <v>13</v>
      </c>
      <c r="AC17" s="4">
        <v>1789935739.2</v>
      </c>
      <c r="AE17" s="2">
        <v>21</v>
      </c>
      <c r="AF17" s="2" t="s">
        <v>13</v>
      </c>
      <c r="AG17" s="4">
        <v>950096952</v>
      </c>
      <c r="AI17" s="2">
        <v>16</v>
      </c>
      <c r="AJ17" s="2" t="s">
        <v>13</v>
      </c>
      <c r="AK17" s="2">
        <v>2374983639</v>
      </c>
      <c r="AM17" s="2">
        <v>16</v>
      </c>
      <c r="AN17" s="2" t="s">
        <v>13</v>
      </c>
      <c r="AO17" s="2">
        <v>2377829790</v>
      </c>
      <c r="AQ17" s="2">
        <v>16</v>
      </c>
      <c r="AR17" s="2" t="s">
        <v>13</v>
      </c>
      <c r="AS17" s="2">
        <v>3520920</v>
      </c>
      <c r="AU17" s="2">
        <v>16</v>
      </c>
      <c r="AV17" s="2" t="s">
        <v>13</v>
      </c>
      <c r="AW17" s="4">
        <v>127193235</v>
      </c>
      <c r="AY17" s="2">
        <v>16</v>
      </c>
      <c r="AZ17" s="2" t="s">
        <v>13</v>
      </c>
      <c r="BA17">
        <v>2898157275</v>
      </c>
    </row>
    <row r="18" spans="2:53" x14ac:dyDescent="0.25">
      <c r="B18" s="2" t="s">
        <v>14</v>
      </c>
      <c r="C18" s="2">
        <f t="shared" si="0"/>
        <v>0</v>
      </c>
      <c r="D18" s="2">
        <f>C18</f>
        <v>0</v>
      </c>
      <c r="E18" s="1">
        <f>D18/D$49*100</f>
        <v>0</v>
      </c>
      <c r="G18" s="2">
        <v>22</v>
      </c>
      <c r="H18" s="3" t="s">
        <v>14</v>
      </c>
      <c r="I18" s="3">
        <v>0</v>
      </c>
      <c r="J18" s="3"/>
      <c r="K18" s="3">
        <v>22</v>
      </c>
      <c r="L18" s="3" t="s">
        <v>14</v>
      </c>
      <c r="M18" s="3">
        <v>0</v>
      </c>
      <c r="N18" s="3"/>
      <c r="O18" s="2">
        <v>22</v>
      </c>
      <c r="P18" s="2" t="s">
        <v>14</v>
      </c>
      <c r="Q18" s="2">
        <v>0</v>
      </c>
      <c r="S18" s="2">
        <v>22</v>
      </c>
      <c r="T18" s="2" t="s">
        <v>14</v>
      </c>
      <c r="U18" s="4">
        <v>0</v>
      </c>
      <c r="W18" s="2">
        <v>22</v>
      </c>
      <c r="X18" s="2" t="s">
        <v>14</v>
      </c>
      <c r="Y18" s="2">
        <v>0</v>
      </c>
      <c r="AA18" s="2">
        <v>22</v>
      </c>
      <c r="AB18" s="2" t="s">
        <v>14</v>
      </c>
      <c r="AC18" s="4">
        <v>0</v>
      </c>
      <c r="AE18" s="2">
        <v>22</v>
      </c>
      <c r="AF18" s="2" t="s">
        <v>14</v>
      </c>
      <c r="AG18" s="4">
        <v>0</v>
      </c>
      <c r="AI18" s="2">
        <v>17</v>
      </c>
      <c r="AJ18" s="2" t="s">
        <v>14</v>
      </c>
      <c r="AM18" s="2">
        <v>17</v>
      </c>
      <c r="AN18" s="2" t="s">
        <v>14</v>
      </c>
      <c r="AQ18" s="2">
        <v>17</v>
      </c>
      <c r="AR18" s="2" t="s">
        <v>14</v>
      </c>
      <c r="AS18" s="2">
        <v>0</v>
      </c>
      <c r="AU18" s="2">
        <v>17</v>
      </c>
      <c r="AV18" s="2" t="s">
        <v>14</v>
      </c>
      <c r="AW18" s="2">
        <v>0</v>
      </c>
      <c r="AY18" s="2">
        <v>17</v>
      </c>
      <c r="AZ18" s="2" t="s">
        <v>14</v>
      </c>
    </row>
    <row r="19" spans="2:53" x14ac:dyDescent="0.25">
      <c r="C19" s="2">
        <f t="shared" si="0"/>
        <v>0</v>
      </c>
      <c r="H19" s="3"/>
      <c r="I19" s="3"/>
      <c r="J19" s="3"/>
      <c r="K19" s="3"/>
      <c r="L19" s="3"/>
      <c r="M19" s="3"/>
      <c r="N19" s="3"/>
    </row>
    <row r="20" spans="2:53" x14ac:dyDescent="0.25">
      <c r="B20" s="2" t="s">
        <v>62</v>
      </c>
      <c r="C20" s="2">
        <f t="shared" si="0"/>
        <v>0</v>
      </c>
      <c r="G20" s="2">
        <v>23</v>
      </c>
      <c r="H20" s="3" t="s">
        <v>15</v>
      </c>
      <c r="I20" s="3">
        <v>0</v>
      </c>
      <c r="J20" s="3"/>
      <c r="K20" s="3">
        <v>23</v>
      </c>
      <c r="L20" s="3" t="s">
        <v>15</v>
      </c>
      <c r="M20" s="3">
        <v>0</v>
      </c>
      <c r="N20" s="3"/>
      <c r="O20" s="2">
        <v>23</v>
      </c>
      <c r="P20" s="2" t="s">
        <v>15</v>
      </c>
      <c r="Q20" s="2">
        <v>0</v>
      </c>
      <c r="S20" s="2">
        <v>23</v>
      </c>
      <c r="T20" s="2" t="s">
        <v>15</v>
      </c>
      <c r="U20" s="2">
        <v>0</v>
      </c>
      <c r="W20" s="2">
        <v>23</v>
      </c>
      <c r="X20" s="2" t="s">
        <v>15</v>
      </c>
      <c r="Y20" s="4">
        <v>0</v>
      </c>
      <c r="AA20" s="2">
        <v>23</v>
      </c>
      <c r="AB20" s="2" t="s">
        <v>15</v>
      </c>
      <c r="AC20" s="4">
        <v>0</v>
      </c>
      <c r="AE20" s="2">
        <v>23</v>
      </c>
      <c r="AF20" s="2" t="s">
        <v>15</v>
      </c>
      <c r="AG20" s="4">
        <v>0</v>
      </c>
      <c r="AI20" s="2">
        <v>18</v>
      </c>
      <c r="AJ20" s="2" t="s">
        <v>15</v>
      </c>
      <c r="AK20" s="2">
        <v>0</v>
      </c>
      <c r="AM20" s="2">
        <v>18</v>
      </c>
      <c r="AN20" s="2" t="s">
        <v>15</v>
      </c>
      <c r="AQ20" s="2">
        <v>18</v>
      </c>
      <c r="AR20" s="2" t="s">
        <v>15</v>
      </c>
      <c r="AS20" s="2">
        <v>0</v>
      </c>
      <c r="AU20" s="2">
        <v>18</v>
      </c>
      <c r="AV20" s="2" t="s">
        <v>15</v>
      </c>
      <c r="AW20" s="2">
        <v>0</v>
      </c>
      <c r="AY20" s="2">
        <v>18</v>
      </c>
      <c r="AZ20" s="2" t="s">
        <v>15</v>
      </c>
    </row>
    <row r="21" spans="2:53" x14ac:dyDescent="0.25">
      <c r="B21" s="2" t="s">
        <v>16</v>
      </c>
      <c r="C21" s="2">
        <f t="shared" si="0"/>
        <v>0</v>
      </c>
      <c r="D21" s="2">
        <f>SUM(C20:C21)</f>
        <v>0</v>
      </c>
      <c r="E21" s="1">
        <f>D21/D$49*100</f>
        <v>0</v>
      </c>
      <c r="G21" s="2">
        <v>24</v>
      </c>
      <c r="H21" s="3" t="s">
        <v>16</v>
      </c>
      <c r="I21" s="3">
        <v>0</v>
      </c>
      <c r="J21" s="3"/>
      <c r="K21" s="3">
        <v>24</v>
      </c>
      <c r="L21" s="3" t="s">
        <v>16</v>
      </c>
      <c r="M21" s="3">
        <v>0</v>
      </c>
      <c r="N21" s="3"/>
      <c r="O21" s="2">
        <v>24</v>
      </c>
      <c r="P21" s="2" t="s">
        <v>16</v>
      </c>
      <c r="Q21" s="2">
        <v>0</v>
      </c>
      <c r="S21" s="2">
        <v>24</v>
      </c>
      <c r="T21" s="2" t="s">
        <v>16</v>
      </c>
      <c r="U21" s="2">
        <v>0</v>
      </c>
      <c r="W21" s="2">
        <v>24</v>
      </c>
      <c r="X21" s="2" t="s">
        <v>16</v>
      </c>
      <c r="Y21" s="4">
        <v>0</v>
      </c>
      <c r="AA21" s="2">
        <v>24</v>
      </c>
      <c r="AB21" s="2" t="s">
        <v>16</v>
      </c>
      <c r="AC21" s="4">
        <v>0</v>
      </c>
      <c r="AE21" s="2">
        <v>24</v>
      </c>
      <c r="AF21" s="2" t="s">
        <v>16</v>
      </c>
      <c r="AG21" s="4">
        <v>0</v>
      </c>
      <c r="AI21" s="2">
        <v>19</v>
      </c>
      <c r="AJ21" s="2" t="s">
        <v>16</v>
      </c>
      <c r="AK21" s="2">
        <v>0</v>
      </c>
      <c r="AM21" s="2">
        <v>19</v>
      </c>
      <c r="AN21" s="2" t="s">
        <v>16</v>
      </c>
      <c r="AQ21" s="2">
        <v>19</v>
      </c>
      <c r="AR21" s="2" t="s">
        <v>16</v>
      </c>
      <c r="AS21" s="2">
        <v>0</v>
      </c>
      <c r="AU21" s="2">
        <v>19</v>
      </c>
      <c r="AV21" s="2" t="s">
        <v>16</v>
      </c>
      <c r="AW21" s="2">
        <v>0</v>
      </c>
      <c r="AY21" s="2">
        <v>19</v>
      </c>
      <c r="AZ21" s="2" t="s">
        <v>16</v>
      </c>
    </row>
    <row r="22" spans="2:53" x14ac:dyDescent="0.25">
      <c r="B22" s="2" t="s">
        <v>17</v>
      </c>
      <c r="C22" s="2">
        <f t="shared" si="0"/>
        <v>17316000</v>
      </c>
      <c r="G22" s="2">
        <v>26</v>
      </c>
      <c r="H22" s="3" t="s">
        <v>17</v>
      </c>
      <c r="I22" s="3">
        <v>0</v>
      </c>
      <c r="J22" s="3"/>
      <c r="K22" s="3">
        <v>26</v>
      </c>
      <c r="L22" s="3" t="s">
        <v>17</v>
      </c>
      <c r="M22" s="3">
        <v>0</v>
      </c>
      <c r="N22" s="3"/>
      <c r="O22" s="2">
        <v>26</v>
      </c>
      <c r="P22" s="2" t="s">
        <v>17</v>
      </c>
      <c r="Q22" s="2">
        <v>3463200</v>
      </c>
      <c r="S22" s="2">
        <v>26</v>
      </c>
      <c r="T22" s="2" t="s">
        <v>17</v>
      </c>
      <c r="U22" s="2">
        <v>0</v>
      </c>
      <c r="W22" s="2">
        <v>26</v>
      </c>
      <c r="X22" s="2" t="s">
        <v>17</v>
      </c>
      <c r="Y22" s="4">
        <v>3463200</v>
      </c>
      <c r="AA22" s="2">
        <v>26</v>
      </c>
      <c r="AB22" s="2" t="s">
        <v>17</v>
      </c>
      <c r="AC22" s="4">
        <v>8658000</v>
      </c>
      <c r="AE22" s="2">
        <v>26</v>
      </c>
      <c r="AF22" s="2" t="s">
        <v>17</v>
      </c>
      <c r="AG22" s="4">
        <v>1731600</v>
      </c>
      <c r="AI22" s="2">
        <v>20</v>
      </c>
      <c r="AJ22" s="2" t="s">
        <v>17</v>
      </c>
      <c r="AK22" s="2">
        <v>0</v>
      </c>
      <c r="AM22" s="2">
        <v>20</v>
      </c>
      <c r="AN22" s="2" t="s">
        <v>17</v>
      </c>
      <c r="AQ22" s="2">
        <v>20</v>
      </c>
      <c r="AR22" s="2" t="s">
        <v>17</v>
      </c>
      <c r="AS22" s="2">
        <v>0</v>
      </c>
      <c r="AU22" s="2">
        <v>20</v>
      </c>
      <c r="AV22" s="2" t="s">
        <v>17</v>
      </c>
      <c r="AW22" s="2">
        <v>0</v>
      </c>
      <c r="AY22" s="2">
        <v>20</v>
      </c>
      <c r="AZ22" s="2" t="s">
        <v>17</v>
      </c>
    </row>
    <row r="23" spans="2:53" x14ac:dyDescent="0.25">
      <c r="B23" s="2" t="s">
        <v>18</v>
      </c>
      <c r="C23" s="2">
        <f t="shared" si="0"/>
        <v>60439500</v>
      </c>
      <c r="D23" s="2">
        <f>SUM(C22:C23)</f>
        <v>77755500</v>
      </c>
      <c r="E23" s="1">
        <f>D23/D$49*100</f>
        <v>9.5627079179703867E-2</v>
      </c>
      <c r="G23" s="2">
        <v>28</v>
      </c>
      <c r="H23" s="3" t="s">
        <v>18</v>
      </c>
      <c r="I23" s="3">
        <v>0</v>
      </c>
      <c r="J23" s="3"/>
      <c r="K23" s="3">
        <v>28</v>
      </c>
      <c r="L23" s="3" t="s">
        <v>18</v>
      </c>
      <c r="M23" s="3">
        <v>0</v>
      </c>
      <c r="N23" s="3"/>
      <c r="O23" s="2">
        <v>28</v>
      </c>
      <c r="P23" s="2" t="s">
        <v>18</v>
      </c>
      <c r="Q23" s="2">
        <v>16117200</v>
      </c>
      <c r="S23" s="2">
        <v>28</v>
      </c>
      <c r="T23" s="2" t="s">
        <v>18</v>
      </c>
      <c r="U23" s="2">
        <v>0</v>
      </c>
      <c r="W23" s="2">
        <v>28</v>
      </c>
      <c r="X23" s="2" t="s">
        <v>18</v>
      </c>
      <c r="Y23" s="4">
        <v>16117200</v>
      </c>
      <c r="AA23" s="2">
        <v>28</v>
      </c>
      <c r="AB23" s="2" t="s">
        <v>18</v>
      </c>
      <c r="AC23" s="4">
        <v>20146500</v>
      </c>
      <c r="AE23" s="2">
        <v>28</v>
      </c>
      <c r="AF23" s="2" t="s">
        <v>18</v>
      </c>
      <c r="AG23" s="4">
        <v>8058600</v>
      </c>
      <c r="AI23" s="2">
        <v>21</v>
      </c>
      <c r="AJ23" s="2" t="s">
        <v>18</v>
      </c>
      <c r="AK23" s="2">
        <v>0</v>
      </c>
      <c r="AM23" s="2">
        <v>21</v>
      </c>
      <c r="AN23" s="2" t="s">
        <v>18</v>
      </c>
      <c r="AQ23" s="2">
        <v>21</v>
      </c>
      <c r="AR23" s="2" t="s">
        <v>18</v>
      </c>
      <c r="AS23" s="2">
        <v>0</v>
      </c>
      <c r="AU23" s="2">
        <v>21</v>
      </c>
      <c r="AV23" s="2" t="s">
        <v>18</v>
      </c>
      <c r="AW23" s="2">
        <v>0</v>
      </c>
      <c r="AY23" s="2">
        <v>21</v>
      </c>
      <c r="AZ23" s="2" t="s">
        <v>18</v>
      </c>
    </row>
    <row r="24" spans="2:53" x14ac:dyDescent="0.25">
      <c r="B24" s="2" t="s">
        <v>19</v>
      </c>
      <c r="C24" s="2">
        <f t="shared" si="0"/>
        <v>397082520</v>
      </c>
      <c r="G24" s="2">
        <v>30</v>
      </c>
      <c r="H24" s="3" t="s">
        <v>19</v>
      </c>
      <c r="I24" s="3">
        <v>0</v>
      </c>
      <c r="J24" s="3"/>
      <c r="K24" s="3">
        <v>30</v>
      </c>
      <c r="L24" s="3" t="s">
        <v>19</v>
      </c>
      <c r="M24" s="3">
        <v>30923212.5</v>
      </c>
      <c r="N24" s="3"/>
      <c r="O24" s="2">
        <v>30</v>
      </c>
      <c r="P24" s="2" t="s">
        <v>19</v>
      </c>
      <c r="Q24" s="2">
        <v>61846425</v>
      </c>
      <c r="S24" s="2">
        <v>30</v>
      </c>
      <c r="T24" s="2" t="s">
        <v>19</v>
      </c>
      <c r="U24" s="2">
        <v>0</v>
      </c>
      <c r="W24" s="2">
        <v>30</v>
      </c>
      <c r="X24" s="2" t="s">
        <v>19</v>
      </c>
      <c r="Y24" s="4">
        <v>30923212.5</v>
      </c>
      <c r="AA24" s="2">
        <v>30</v>
      </c>
      <c r="AB24" s="2" t="s">
        <v>19</v>
      </c>
      <c r="AC24" s="4">
        <v>61846425</v>
      </c>
      <c r="AE24" s="2">
        <v>30</v>
      </c>
      <c r="AF24" s="2" t="s">
        <v>19</v>
      </c>
      <c r="AG24" s="4">
        <v>86584995</v>
      </c>
      <c r="AI24" s="2">
        <v>22</v>
      </c>
      <c r="AJ24" s="2" t="s">
        <v>19</v>
      </c>
      <c r="AK24" s="2">
        <v>0</v>
      </c>
      <c r="AM24" s="2">
        <v>22</v>
      </c>
      <c r="AN24" s="2" t="s">
        <v>19</v>
      </c>
      <c r="AO24" s="2">
        <v>61846425</v>
      </c>
      <c r="AQ24" s="2">
        <v>22</v>
      </c>
      <c r="AR24" s="2" t="s">
        <v>19</v>
      </c>
      <c r="AS24" s="2">
        <v>0</v>
      </c>
      <c r="AU24" s="2">
        <v>22</v>
      </c>
      <c r="AV24" s="2" t="s">
        <v>19</v>
      </c>
      <c r="AW24" s="2">
        <v>0</v>
      </c>
      <c r="AY24" s="2">
        <v>22</v>
      </c>
      <c r="AZ24" s="2" t="s">
        <v>19</v>
      </c>
      <c r="BA24" s="2">
        <v>63111825</v>
      </c>
    </row>
    <row r="25" spans="2:53" x14ac:dyDescent="0.25">
      <c r="B25" s="2" t="s">
        <v>20</v>
      </c>
      <c r="C25" s="2">
        <f t="shared" si="0"/>
        <v>942410868</v>
      </c>
      <c r="D25" s="2">
        <f>SUM(C24:C25)</f>
        <v>1339493388</v>
      </c>
      <c r="E25" s="1">
        <f>D25/D$49*100</f>
        <v>1.6473669422094359</v>
      </c>
      <c r="G25" s="2">
        <v>31</v>
      </c>
      <c r="H25" s="3" t="s">
        <v>20</v>
      </c>
      <c r="I25" s="3">
        <v>0</v>
      </c>
      <c r="J25" s="3"/>
      <c r="K25" s="3">
        <v>31</v>
      </c>
      <c r="L25" s="3" t="s">
        <v>20</v>
      </c>
      <c r="M25" s="3">
        <v>108587137.5</v>
      </c>
      <c r="N25" s="3"/>
      <c r="O25" s="2">
        <v>31</v>
      </c>
      <c r="P25" s="2" t="s">
        <v>20</v>
      </c>
      <c r="Q25" s="2">
        <v>72391425</v>
      </c>
      <c r="S25" s="2">
        <v>31</v>
      </c>
      <c r="T25" s="2" t="s">
        <v>20</v>
      </c>
      <c r="U25" s="2">
        <v>0</v>
      </c>
      <c r="W25" s="2">
        <v>31</v>
      </c>
      <c r="X25" s="2" t="s">
        <v>20</v>
      </c>
      <c r="Y25" s="4">
        <v>72391425</v>
      </c>
      <c r="AA25" s="2">
        <v>31</v>
      </c>
      <c r="AB25" s="2" t="s">
        <v>20</v>
      </c>
      <c r="AC25" s="4">
        <v>72391425</v>
      </c>
      <c r="AE25" s="2">
        <v>31</v>
      </c>
      <c r="AF25" s="2" t="s">
        <v>20</v>
      </c>
      <c r="AG25" s="4">
        <v>43434855</v>
      </c>
      <c r="AI25" s="2">
        <v>23</v>
      </c>
      <c r="AJ25" s="2" t="s">
        <v>20</v>
      </c>
      <c r="AK25" s="2">
        <v>0</v>
      </c>
      <c r="AM25" s="2">
        <v>23</v>
      </c>
      <c r="AN25" s="2" t="s">
        <v>20</v>
      </c>
      <c r="AO25" s="2">
        <v>72391425</v>
      </c>
      <c r="AQ25" s="2">
        <v>23</v>
      </c>
      <c r="AR25" s="2" t="s">
        <v>20</v>
      </c>
      <c r="AS25" s="2">
        <v>72390370.5</v>
      </c>
      <c r="AU25" s="2">
        <v>23</v>
      </c>
      <c r="AV25" s="2" t="s">
        <v>20</v>
      </c>
      <c r="AW25" s="4">
        <v>59094180</v>
      </c>
      <c r="AY25" s="2">
        <v>23</v>
      </c>
      <c r="AZ25" s="2" t="s">
        <v>20</v>
      </c>
      <c r="BA25" s="2">
        <v>369338625</v>
      </c>
    </row>
    <row r="26" spans="2:53" x14ac:dyDescent="0.25">
      <c r="C26" s="2">
        <f t="shared" si="0"/>
        <v>0</v>
      </c>
      <c r="H26" s="3"/>
      <c r="I26" s="3"/>
      <c r="J26" s="3"/>
      <c r="K26" s="3"/>
      <c r="L26" s="3"/>
      <c r="M26" s="3"/>
      <c r="N26" s="3"/>
      <c r="AA26" s="2" t="s">
        <v>39</v>
      </c>
      <c r="AE26" s="2" t="s">
        <v>39</v>
      </c>
    </row>
    <row r="27" spans="2:53" x14ac:dyDescent="0.25">
      <c r="B27" s="2" t="s">
        <v>21</v>
      </c>
      <c r="C27" s="2">
        <f t="shared" si="0"/>
        <v>298416840</v>
      </c>
      <c r="D27" s="2">
        <f>C27</f>
        <v>298416840</v>
      </c>
      <c r="E27" s="1">
        <f>D27/D$49*100</f>
        <v>0.36700594539597869</v>
      </c>
      <c r="G27" s="2">
        <v>1</v>
      </c>
      <c r="H27" s="3" t="s">
        <v>21</v>
      </c>
      <c r="I27" s="3">
        <v>0</v>
      </c>
      <c r="J27" s="3"/>
      <c r="K27" s="3">
        <v>1</v>
      </c>
      <c r="L27" s="3" t="s">
        <v>21</v>
      </c>
      <c r="M27" s="3">
        <v>83348790</v>
      </c>
      <c r="N27" s="3"/>
      <c r="O27" s="2">
        <v>1</v>
      </c>
      <c r="P27" s="2" t="s">
        <v>21</v>
      </c>
      <c r="Q27" s="2">
        <v>70041000</v>
      </c>
      <c r="S27" s="2">
        <v>1</v>
      </c>
      <c r="T27" s="2" t="s">
        <v>21</v>
      </c>
      <c r="U27" s="2">
        <v>0</v>
      </c>
      <c r="W27" s="2">
        <v>1</v>
      </c>
      <c r="X27" s="2" t="s">
        <v>21</v>
      </c>
      <c r="Y27" s="5">
        <v>3502050</v>
      </c>
      <c r="AA27" s="2">
        <v>1</v>
      </c>
      <c r="AB27" s="2" t="s">
        <v>21</v>
      </c>
      <c r="AC27" s="4">
        <v>0</v>
      </c>
      <c r="AE27" s="2">
        <v>1</v>
      </c>
      <c r="AF27" s="2" t="s">
        <v>21</v>
      </c>
      <c r="AG27" s="4">
        <v>0</v>
      </c>
      <c r="AI27" s="2">
        <v>1</v>
      </c>
      <c r="AJ27" s="2" t="s">
        <v>21</v>
      </c>
      <c r="AK27" s="2">
        <v>0</v>
      </c>
      <c r="AM27" s="2">
        <v>1</v>
      </c>
      <c r="AN27" s="2" t="s">
        <v>21</v>
      </c>
      <c r="AO27" s="2">
        <v>70041000</v>
      </c>
      <c r="AQ27" s="2">
        <v>1</v>
      </c>
      <c r="AR27" s="2" t="s">
        <v>21</v>
      </c>
      <c r="AS27" s="2">
        <v>0</v>
      </c>
      <c r="AU27" s="2">
        <v>1</v>
      </c>
      <c r="AV27" s="2" t="s">
        <v>21</v>
      </c>
      <c r="AW27" s="2">
        <v>0</v>
      </c>
      <c r="AY27" s="2">
        <v>1</v>
      </c>
      <c r="AZ27" s="2" t="s">
        <v>21</v>
      </c>
      <c r="BA27" s="2">
        <v>71484000</v>
      </c>
    </row>
    <row r="28" spans="2:53" x14ac:dyDescent="0.25">
      <c r="B28" s="2" t="s">
        <v>22</v>
      </c>
      <c r="C28" s="2">
        <f t="shared" si="0"/>
        <v>369298665</v>
      </c>
      <c r="G28" s="2">
        <v>2</v>
      </c>
      <c r="H28" s="3" t="s">
        <v>22</v>
      </c>
      <c r="I28" s="3">
        <v>0</v>
      </c>
      <c r="J28" s="3"/>
      <c r="K28" s="3">
        <v>2</v>
      </c>
      <c r="L28" s="3" t="s">
        <v>22</v>
      </c>
      <c r="M28" s="3">
        <v>0</v>
      </c>
      <c r="N28" s="3"/>
      <c r="O28" s="2">
        <v>2</v>
      </c>
      <c r="P28" s="2" t="s">
        <v>22</v>
      </c>
      <c r="Q28" s="2">
        <v>0</v>
      </c>
      <c r="S28" s="2">
        <v>2</v>
      </c>
      <c r="T28" s="2" t="s">
        <v>22</v>
      </c>
      <c r="U28" s="2">
        <v>0</v>
      </c>
      <c r="W28" s="2">
        <v>2</v>
      </c>
      <c r="X28" s="2" t="s">
        <v>22</v>
      </c>
      <c r="Y28" s="5">
        <v>0</v>
      </c>
      <c r="AA28" s="2">
        <v>2</v>
      </c>
      <c r="AB28" s="2" t="s">
        <v>22</v>
      </c>
      <c r="AC28" s="4">
        <v>112245975</v>
      </c>
      <c r="AE28" s="2">
        <v>2</v>
      </c>
      <c r="AF28" s="2" t="s">
        <v>22</v>
      </c>
      <c r="AG28" s="4">
        <v>130066470</v>
      </c>
      <c r="AI28" s="2">
        <v>2</v>
      </c>
      <c r="AJ28" s="2" t="s">
        <v>22</v>
      </c>
      <c r="AK28" s="2">
        <v>44435520</v>
      </c>
      <c r="AM28" s="2">
        <v>2</v>
      </c>
      <c r="AN28" s="2" t="s">
        <v>22</v>
      </c>
      <c r="AO28" s="2">
        <v>44435520</v>
      </c>
      <c r="AQ28" s="2">
        <v>2</v>
      </c>
      <c r="AR28" s="2" t="s">
        <v>22</v>
      </c>
      <c r="AS28" s="2">
        <v>38115180</v>
      </c>
      <c r="AU28" s="2">
        <v>2</v>
      </c>
      <c r="AV28" s="2" t="s">
        <v>22</v>
      </c>
      <c r="AW28" s="2">
        <v>0</v>
      </c>
      <c r="AY28" s="2">
        <v>2</v>
      </c>
      <c r="AZ28" s="2" t="s">
        <v>22</v>
      </c>
      <c r="BA28" s="2">
        <v>0</v>
      </c>
    </row>
    <row r="29" spans="2:53" x14ac:dyDescent="0.25">
      <c r="B29" s="2" t="s">
        <v>23</v>
      </c>
      <c r="C29" s="2">
        <f t="shared" si="0"/>
        <v>4346127300</v>
      </c>
      <c r="G29" s="2">
        <v>3</v>
      </c>
      <c r="H29" s="3" t="s">
        <v>23</v>
      </c>
      <c r="I29" s="3">
        <v>0</v>
      </c>
      <c r="J29" s="3"/>
      <c r="K29" s="3">
        <v>3</v>
      </c>
      <c r="L29" s="3" t="s">
        <v>23</v>
      </c>
      <c r="M29" s="3">
        <v>241385040</v>
      </c>
      <c r="N29" s="3"/>
      <c r="O29" s="2">
        <v>3</v>
      </c>
      <c r="P29" s="2" t="s">
        <v>23</v>
      </c>
      <c r="Q29" s="2">
        <v>344328660</v>
      </c>
      <c r="S29" s="2">
        <v>3</v>
      </c>
      <c r="T29" s="2" t="s">
        <v>23</v>
      </c>
      <c r="U29" s="4">
        <v>56796480</v>
      </c>
      <c r="W29" s="2">
        <v>3</v>
      </c>
      <c r="X29" s="2" t="s">
        <v>23</v>
      </c>
      <c r="Y29" s="5">
        <v>468570960</v>
      </c>
      <c r="AA29" s="2">
        <v>3</v>
      </c>
      <c r="AB29" s="2" t="s">
        <v>23</v>
      </c>
      <c r="AC29" s="4">
        <v>290490330</v>
      </c>
      <c r="AE29" s="2">
        <v>3</v>
      </c>
      <c r="AF29" s="2" t="s">
        <v>23</v>
      </c>
      <c r="AG29" s="4">
        <v>466204440</v>
      </c>
      <c r="AI29" s="2">
        <v>3</v>
      </c>
      <c r="AJ29" s="2" t="s">
        <v>23</v>
      </c>
      <c r="AK29" s="2">
        <v>1085641050</v>
      </c>
      <c r="AM29" s="2">
        <v>3</v>
      </c>
      <c r="AN29" s="2" t="s">
        <v>23</v>
      </c>
      <c r="AO29" s="2">
        <v>689840580</v>
      </c>
      <c r="AQ29" s="2">
        <v>3</v>
      </c>
      <c r="AR29" s="2" t="s">
        <v>23</v>
      </c>
      <c r="AS29" s="2">
        <v>234289920</v>
      </c>
      <c r="AU29" s="2">
        <v>3</v>
      </c>
      <c r="AV29" s="2" t="s">
        <v>23</v>
      </c>
      <c r="AW29" s="2">
        <v>0</v>
      </c>
      <c r="AY29" s="2">
        <v>3</v>
      </c>
      <c r="AZ29" s="2" t="s">
        <v>23</v>
      </c>
      <c r="BA29" s="2">
        <v>468579840</v>
      </c>
    </row>
    <row r="30" spans="2:53" x14ac:dyDescent="0.25">
      <c r="B30" s="2" t="s">
        <v>63</v>
      </c>
      <c r="C30" s="2">
        <f t="shared" si="0"/>
        <v>813987420</v>
      </c>
      <c r="D30" s="2">
        <f>SUM(C28:C30)</f>
        <v>5529413385</v>
      </c>
      <c r="E30" s="1">
        <f>D30/D$49*100</f>
        <v>6.8003118954248816</v>
      </c>
      <c r="G30" s="2">
        <v>4</v>
      </c>
      <c r="H30" s="3" t="s">
        <v>24</v>
      </c>
      <c r="I30" s="3">
        <v>0</v>
      </c>
      <c r="J30" s="3"/>
      <c r="K30" s="3">
        <v>4</v>
      </c>
      <c r="L30" s="3" t="s">
        <v>24</v>
      </c>
      <c r="M30" s="3">
        <v>181748070</v>
      </c>
      <c r="N30" s="3"/>
      <c r="O30" s="2">
        <v>4</v>
      </c>
      <c r="P30" s="2" t="s">
        <v>24</v>
      </c>
      <c r="Q30" s="2">
        <v>88181730</v>
      </c>
      <c r="S30" s="2">
        <v>4</v>
      </c>
      <c r="T30" s="2" t="s">
        <v>24</v>
      </c>
      <c r="U30" s="4">
        <v>202797000</v>
      </c>
      <c r="W30" s="2">
        <v>4</v>
      </c>
      <c r="X30" s="2" t="s">
        <v>24</v>
      </c>
      <c r="Y30" s="5">
        <v>0</v>
      </c>
      <c r="AA30" s="2">
        <v>4</v>
      </c>
      <c r="AB30" s="2" t="s">
        <v>24</v>
      </c>
      <c r="AC30" s="4">
        <v>0</v>
      </c>
      <c r="AE30" s="2">
        <v>4</v>
      </c>
      <c r="AF30" s="2" t="s">
        <v>24</v>
      </c>
      <c r="AG30" s="4">
        <v>0</v>
      </c>
      <c r="AI30" s="2">
        <v>4</v>
      </c>
      <c r="AJ30" s="2" t="s">
        <v>24</v>
      </c>
      <c r="AK30" s="2">
        <v>202797000</v>
      </c>
      <c r="AM30" s="2">
        <v>4</v>
      </c>
      <c r="AN30" s="2" t="s">
        <v>24</v>
      </c>
      <c r="AO30" s="2">
        <v>0</v>
      </c>
      <c r="AQ30" s="2">
        <v>4</v>
      </c>
      <c r="AR30" s="2" t="s">
        <v>24</v>
      </c>
      <c r="AS30" s="2">
        <v>138463620</v>
      </c>
      <c r="AU30" s="2">
        <v>4</v>
      </c>
      <c r="AV30" s="2" t="s">
        <v>24</v>
      </c>
      <c r="AW30" s="2">
        <v>0</v>
      </c>
      <c r="AY30" s="2">
        <v>4</v>
      </c>
      <c r="AZ30" s="2" t="s">
        <v>24</v>
      </c>
      <c r="BA30" s="2">
        <v>0</v>
      </c>
    </row>
    <row r="31" spans="2:53" x14ac:dyDescent="0.25">
      <c r="C31" s="2">
        <f t="shared" si="0"/>
        <v>0</v>
      </c>
      <c r="H31" s="3"/>
      <c r="I31" s="3"/>
      <c r="J31" s="3"/>
      <c r="K31" s="3"/>
      <c r="L31" s="3"/>
      <c r="M31" s="3"/>
      <c r="N31" s="3"/>
    </row>
    <row r="32" spans="2:53" x14ac:dyDescent="0.25">
      <c r="B32" s="2" t="s">
        <v>25</v>
      </c>
      <c r="C32" s="2">
        <f t="shared" si="0"/>
        <v>278293095</v>
      </c>
      <c r="G32" s="2">
        <v>5</v>
      </c>
      <c r="H32" s="3" t="s">
        <v>25</v>
      </c>
      <c r="I32" s="3">
        <v>0</v>
      </c>
      <c r="J32" s="3"/>
      <c r="K32" s="3">
        <v>5</v>
      </c>
      <c r="L32" s="3" t="s">
        <v>25</v>
      </c>
      <c r="M32" s="3">
        <v>0</v>
      </c>
      <c r="N32" s="3"/>
      <c r="O32" s="2">
        <v>5</v>
      </c>
      <c r="P32" s="2" t="s">
        <v>25</v>
      </c>
      <c r="Q32" s="2">
        <v>0</v>
      </c>
      <c r="S32" s="2">
        <v>5</v>
      </c>
      <c r="T32" s="2" t="s">
        <v>25</v>
      </c>
      <c r="U32" s="2">
        <v>0</v>
      </c>
      <c r="W32" s="2">
        <v>5</v>
      </c>
      <c r="X32" s="2" t="s">
        <v>25</v>
      </c>
      <c r="Y32" s="5">
        <v>106214512.5</v>
      </c>
      <c r="AA32" s="2">
        <v>5</v>
      </c>
      <c r="AB32" s="2" t="s">
        <v>25</v>
      </c>
      <c r="AC32" s="4">
        <v>0</v>
      </c>
      <c r="AE32" s="2">
        <v>5</v>
      </c>
      <c r="AF32" s="2" t="s">
        <v>25</v>
      </c>
      <c r="AG32" s="4">
        <v>63728707.5</v>
      </c>
      <c r="AI32" s="2">
        <v>5</v>
      </c>
      <c r="AJ32" s="2" t="s">
        <v>25</v>
      </c>
      <c r="AK32" s="2">
        <v>0</v>
      </c>
      <c r="AM32" s="2">
        <v>5</v>
      </c>
      <c r="AN32" s="2" t="s">
        <v>25</v>
      </c>
      <c r="AO32" s="2">
        <v>0</v>
      </c>
      <c r="AQ32" s="2">
        <v>5</v>
      </c>
      <c r="AR32" s="2" t="s">
        <v>25</v>
      </c>
      <c r="AU32" s="2">
        <v>5</v>
      </c>
      <c r="AV32" s="2" t="s">
        <v>25</v>
      </c>
      <c r="AW32" s="2">
        <v>0</v>
      </c>
      <c r="AY32" s="2">
        <v>5</v>
      </c>
      <c r="AZ32" s="2" t="s">
        <v>25</v>
      </c>
      <c r="BA32" s="2">
        <v>108349875</v>
      </c>
    </row>
    <row r="33" spans="2:53" x14ac:dyDescent="0.25">
      <c r="B33" s="2" t="s">
        <v>26</v>
      </c>
      <c r="C33" s="2">
        <f t="shared" si="0"/>
        <v>120260452.5</v>
      </c>
      <c r="G33" s="2">
        <v>6</v>
      </c>
      <c r="H33" s="3" t="s">
        <v>26</v>
      </c>
      <c r="I33" s="3">
        <v>0</v>
      </c>
      <c r="J33" s="3"/>
      <c r="K33" s="3">
        <v>6</v>
      </c>
      <c r="L33" s="3" t="s">
        <v>26</v>
      </c>
      <c r="M33" s="3">
        <v>0</v>
      </c>
      <c r="N33" s="3"/>
      <c r="O33" s="2">
        <v>6</v>
      </c>
      <c r="P33" s="2" t="s">
        <v>26</v>
      </c>
      <c r="Q33" s="2">
        <v>0</v>
      </c>
      <c r="S33" s="2">
        <v>6</v>
      </c>
      <c r="T33" s="2" t="s">
        <v>26</v>
      </c>
      <c r="U33" s="2">
        <v>0</v>
      </c>
      <c r="W33" s="2">
        <v>6</v>
      </c>
      <c r="X33" s="2" t="s">
        <v>26</v>
      </c>
      <c r="Y33" s="5">
        <v>0</v>
      </c>
      <c r="AA33" s="2">
        <v>6</v>
      </c>
      <c r="AB33" s="2" t="s">
        <v>26</v>
      </c>
      <c r="AC33" s="4">
        <v>0</v>
      </c>
      <c r="AE33" s="2">
        <v>6</v>
      </c>
      <c r="AF33" s="2" t="s">
        <v>26</v>
      </c>
      <c r="AG33" s="4">
        <v>120260452.5</v>
      </c>
      <c r="AI33" s="2">
        <v>6</v>
      </c>
      <c r="AJ33" s="2" t="s">
        <v>26</v>
      </c>
      <c r="AK33" s="2">
        <v>0</v>
      </c>
      <c r="AM33" s="2">
        <v>6</v>
      </c>
      <c r="AN33" s="2" t="s">
        <v>26</v>
      </c>
      <c r="AO33" s="2">
        <v>0</v>
      </c>
      <c r="AQ33" s="2">
        <v>6</v>
      </c>
      <c r="AR33" s="2" t="s">
        <v>26</v>
      </c>
      <c r="AU33" s="2">
        <v>6</v>
      </c>
      <c r="AV33" s="2" t="s">
        <v>26</v>
      </c>
      <c r="AW33" s="2">
        <v>0</v>
      </c>
      <c r="AY33" s="2">
        <v>6</v>
      </c>
      <c r="AZ33" s="2" t="s">
        <v>26</v>
      </c>
      <c r="BA33" s="2">
        <v>0</v>
      </c>
    </row>
    <row r="34" spans="2:53" x14ac:dyDescent="0.25">
      <c r="B34" s="2" t="s">
        <v>27</v>
      </c>
      <c r="C34" s="2">
        <f t="shared" si="0"/>
        <v>0</v>
      </c>
      <c r="D34" s="2">
        <f>SUM(C32:C34)</f>
        <v>398553547.5</v>
      </c>
      <c r="E34" s="1">
        <f>D34/D$49*100</f>
        <v>0.49015840222407886</v>
      </c>
      <c r="G34" s="2">
        <v>7</v>
      </c>
      <c r="H34" s="3" t="s">
        <v>27</v>
      </c>
      <c r="I34" s="3">
        <v>0</v>
      </c>
      <c r="J34" s="3"/>
      <c r="K34" s="3">
        <v>7</v>
      </c>
      <c r="L34" s="3" t="s">
        <v>27</v>
      </c>
      <c r="M34" s="3">
        <v>0</v>
      </c>
      <c r="N34" s="3"/>
      <c r="O34" s="2">
        <v>7</v>
      </c>
      <c r="P34" s="2" t="s">
        <v>27</v>
      </c>
      <c r="Q34" s="2">
        <v>0</v>
      </c>
      <c r="S34" s="2">
        <v>7</v>
      </c>
      <c r="T34" s="2" t="s">
        <v>27</v>
      </c>
      <c r="U34" s="2">
        <v>0</v>
      </c>
      <c r="W34" s="2">
        <v>7</v>
      </c>
      <c r="X34" s="2" t="s">
        <v>27</v>
      </c>
      <c r="Y34" s="5">
        <v>0</v>
      </c>
      <c r="AA34" s="2">
        <v>7</v>
      </c>
      <c r="AB34" s="2" t="s">
        <v>27</v>
      </c>
      <c r="AC34" s="4">
        <v>0</v>
      </c>
      <c r="AE34" s="2">
        <v>7</v>
      </c>
      <c r="AF34" s="2" t="s">
        <v>27</v>
      </c>
      <c r="AG34" s="4">
        <v>0</v>
      </c>
      <c r="AI34" s="2">
        <v>7</v>
      </c>
      <c r="AJ34" s="2" t="s">
        <v>27</v>
      </c>
      <c r="AK34" s="2">
        <v>0</v>
      </c>
      <c r="AM34" s="2">
        <v>7</v>
      </c>
      <c r="AN34" s="2" t="s">
        <v>27</v>
      </c>
      <c r="AO34" s="2">
        <v>0</v>
      </c>
      <c r="AQ34" s="2">
        <v>7</v>
      </c>
      <c r="AR34" s="2" t="s">
        <v>27</v>
      </c>
      <c r="AU34" s="2">
        <v>7</v>
      </c>
      <c r="AV34" s="2" t="s">
        <v>27</v>
      </c>
      <c r="AW34" s="2">
        <v>0</v>
      </c>
      <c r="AY34" s="2">
        <v>7</v>
      </c>
      <c r="AZ34" s="2" t="s">
        <v>27</v>
      </c>
      <c r="BA34" s="2">
        <v>0</v>
      </c>
    </row>
    <row r="35" spans="2:53" x14ac:dyDescent="0.25">
      <c r="B35" s="2" t="s">
        <v>28</v>
      </c>
      <c r="C35" s="2">
        <f t="shared" si="0"/>
        <v>677832600</v>
      </c>
      <c r="G35" s="2">
        <v>8</v>
      </c>
      <c r="H35" s="3" t="s">
        <v>28</v>
      </c>
      <c r="I35" s="3">
        <v>0</v>
      </c>
      <c r="J35" s="3"/>
      <c r="K35" s="3">
        <v>8</v>
      </c>
      <c r="L35" s="3" t="s">
        <v>28</v>
      </c>
      <c r="M35" s="3">
        <v>0</v>
      </c>
      <c r="N35" s="3"/>
      <c r="O35" s="2">
        <v>8</v>
      </c>
      <c r="P35" s="2" t="s">
        <v>28</v>
      </c>
      <c r="Q35" s="2">
        <v>0</v>
      </c>
      <c r="S35" s="2">
        <v>8</v>
      </c>
      <c r="T35" s="2" t="s">
        <v>28</v>
      </c>
      <c r="U35" s="2">
        <v>0</v>
      </c>
      <c r="W35" s="2">
        <v>8</v>
      </c>
      <c r="X35" s="2" t="s">
        <v>28</v>
      </c>
      <c r="Y35" s="5">
        <v>0</v>
      </c>
      <c r="AA35" s="2">
        <v>8</v>
      </c>
      <c r="AB35" s="2" t="s">
        <v>28</v>
      </c>
      <c r="AC35" s="4">
        <v>84307275</v>
      </c>
      <c r="AE35" s="2">
        <v>8</v>
      </c>
      <c r="AF35" s="2" t="s">
        <v>28</v>
      </c>
      <c r="AG35" s="4">
        <v>84307275</v>
      </c>
      <c r="AI35" s="2">
        <v>8</v>
      </c>
      <c r="AJ35" s="2" t="s">
        <v>28</v>
      </c>
      <c r="AK35" s="2">
        <v>337229100</v>
      </c>
      <c r="AM35" s="2">
        <v>8</v>
      </c>
      <c r="AN35" s="2" t="s">
        <v>28</v>
      </c>
      <c r="AO35" s="2">
        <v>0</v>
      </c>
      <c r="AQ35" s="2">
        <v>8</v>
      </c>
      <c r="AR35" s="2" t="s">
        <v>28</v>
      </c>
      <c r="AU35" s="2">
        <v>8</v>
      </c>
      <c r="AV35" s="2" t="s">
        <v>28</v>
      </c>
      <c r="AW35" s="4">
        <v>171988950</v>
      </c>
      <c r="AY35" s="2">
        <v>8</v>
      </c>
      <c r="AZ35" s="2" t="s">
        <v>28</v>
      </c>
      <c r="BA35" s="2">
        <v>0</v>
      </c>
    </row>
    <row r="36" spans="2:53" x14ac:dyDescent="0.25">
      <c r="B36" s="2" t="s">
        <v>29</v>
      </c>
      <c r="C36" s="2">
        <f t="shared" si="0"/>
        <v>125643675</v>
      </c>
      <c r="G36" s="2">
        <v>9</v>
      </c>
      <c r="H36" s="3" t="s">
        <v>29</v>
      </c>
      <c r="I36" s="3">
        <v>0</v>
      </c>
      <c r="J36" s="3"/>
      <c r="K36" s="3">
        <v>9</v>
      </c>
      <c r="L36" s="3" t="s">
        <v>29</v>
      </c>
      <c r="M36" s="3">
        <v>0</v>
      </c>
      <c r="N36" s="3"/>
      <c r="O36" s="2">
        <v>9</v>
      </c>
      <c r="P36" s="2" t="s">
        <v>29</v>
      </c>
      <c r="Q36" s="2">
        <v>0</v>
      </c>
      <c r="S36" s="2">
        <v>9</v>
      </c>
      <c r="T36" s="2" t="s">
        <v>29</v>
      </c>
      <c r="U36" s="2">
        <v>0</v>
      </c>
      <c r="W36" s="2">
        <v>9</v>
      </c>
      <c r="X36" s="2" t="s">
        <v>29</v>
      </c>
      <c r="Y36" s="5">
        <v>0</v>
      </c>
      <c r="AA36" s="2">
        <v>9</v>
      </c>
      <c r="AB36" s="2" t="s">
        <v>29</v>
      </c>
      <c r="AC36" s="4">
        <v>0</v>
      </c>
      <c r="AE36" s="2">
        <v>9</v>
      </c>
      <c r="AF36" s="2" t="s">
        <v>29</v>
      </c>
      <c r="AG36" s="4">
        <v>0</v>
      </c>
      <c r="AI36" s="2">
        <v>9</v>
      </c>
      <c r="AJ36" s="2" t="s">
        <v>29</v>
      </c>
      <c r="AK36" s="2">
        <v>100514940</v>
      </c>
      <c r="AM36" s="2">
        <v>9</v>
      </c>
      <c r="AN36" s="2" t="s">
        <v>29</v>
      </c>
      <c r="AO36" s="2">
        <v>25128735</v>
      </c>
      <c r="AQ36" s="2">
        <v>9</v>
      </c>
      <c r="AR36" s="2" t="s">
        <v>29</v>
      </c>
      <c r="AU36" s="2">
        <v>9</v>
      </c>
      <c r="AV36" s="2" t="s">
        <v>29</v>
      </c>
      <c r="AW36" s="2">
        <v>0</v>
      </c>
      <c r="AY36" s="2">
        <v>9</v>
      </c>
      <c r="AZ36" s="2" t="s">
        <v>29</v>
      </c>
      <c r="BA36" s="2">
        <v>0</v>
      </c>
    </row>
    <row r="37" spans="2:53" x14ac:dyDescent="0.25">
      <c r="B37" s="2" t="s">
        <v>30</v>
      </c>
      <c r="C37" s="2">
        <f t="shared" si="0"/>
        <v>0</v>
      </c>
      <c r="D37" s="2">
        <f>SUM(C35:C37)</f>
        <v>803476275</v>
      </c>
      <c r="E37" s="1">
        <f>D37/D$49*100</f>
        <v>0.98814989767204275</v>
      </c>
      <c r="G37" s="2">
        <v>10</v>
      </c>
      <c r="H37" s="3" t="s">
        <v>30</v>
      </c>
      <c r="I37" s="3">
        <v>0</v>
      </c>
      <c r="J37" s="3"/>
      <c r="K37" s="3">
        <v>10</v>
      </c>
      <c r="L37" s="3" t="s">
        <v>30</v>
      </c>
      <c r="M37" s="3">
        <v>0</v>
      </c>
      <c r="N37" s="3"/>
      <c r="O37" s="2">
        <v>10</v>
      </c>
      <c r="P37" s="2" t="s">
        <v>30</v>
      </c>
      <c r="Q37" s="2">
        <v>0</v>
      </c>
      <c r="S37" s="2">
        <v>10</v>
      </c>
      <c r="T37" s="2" t="s">
        <v>30</v>
      </c>
      <c r="U37" s="2">
        <v>0</v>
      </c>
      <c r="W37" s="2">
        <v>10</v>
      </c>
      <c r="X37" s="2" t="s">
        <v>30</v>
      </c>
      <c r="Y37" s="5">
        <v>0</v>
      </c>
      <c r="AA37" s="2">
        <v>10</v>
      </c>
      <c r="AB37" s="2" t="s">
        <v>30</v>
      </c>
      <c r="AC37" s="4">
        <v>0</v>
      </c>
      <c r="AE37" s="2">
        <v>10</v>
      </c>
      <c r="AF37" s="2" t="s">
        <v>30</v>
      </c>
      <c r="AG37" s="4">
        <v>0</v>
      </c>
      <c r="AI37" s="2">
        <v>10</v>
      </c>
      <c r="AJ37" s="2" t="s">
        <v>30</v>
      </c>
      <c r="AK37" s="2">
        <v>0</v>
      </c>
      <c r="AM37" s="2">
        <v>10</v>
      </c>
      <c r="AN37" s="2" t="s">
        <v>30</v>
      </c>
      <c r="AO37" s="2">
        <v>0</v>
      </c>
      <c r="AQ37" s="2">
        <v>10</v>
      </c>
      <c r="AR37" s="2" t="s">
        <v>30</v>
      </c>
      <c r="AU37" s="2">
        <v>10</v>
      </c>
      <c r="AV37" s="2" t="s">
        <v>30</v>
      </c>
      <c r="AW37" s="2">
        <v>0</v>
      </c>
      <c r="AY37" s="2">
        <v>10</v>
      </c>
      <c r="AZ37" s="2" t="s">
        <v>30</v>
      </c>
      <c r="BA37" s="2">
        <v>0</v>
      </c>
    </row>
    <row r="38" spans="2:53" x14ac:dyDescent="0.25">
      <c r="C38" s="2">
        <f t="shared" si="0"/>
        <v>0</v>
      </c>
      <c r="H38" s="3"/>
      <c r="I38" s="3"/>
      <c r="J38" s="3"/>
      <c r="K38" s="3"/>
      <c r="L38" s="3"/>
      <c r="M38" s="3"/>
      <c r="N38" s="3"/>
    </row>
    <row r="39" spans="2:53" x14ac:dyDescent="0.25">
      <c r="B39" s="2" t="s">
        <v>31</v>
      </c>
      <c r="C39" s="2">
        <f t="shared" si="0"/>
        <v>0</v>
      </c>
      <c r="G39" s="2">
        <v>12</v>
      </c>
      <c r="H39" s="3" t="s">
        <v>31</v>
      </c>
      <c r="I39" s="3">
        <v>0</v>
      </c>
      <c r="J39" s="3"/>
      <c r="K39" s="3">
        <v>12</v>
      </c>
      <c r="L39" s="3" t="s">
        <v>31</v>
      </c>
      <c r="M39" s="3">
        <v>0</v>
      </c>
      <c r="N39" s="3"/>
      <c r="O39" s="2">
        <v>12</v>
      </c>
      <c r="P39" s="2" t="s">
        <v>31</v>
      </c>
      <c r="Q39" s="2">
        <v>0</v>
      </c>
      <c r="S39" s="2">
        <v>12</v>
      </c>
      <c r="T39" s="2" t="s">
        <v>31</v>
      </c>
      <c r="U39" s="2">
        <v>0</v>
      </c>
      <c r="W39" s="2">
        <v>12</v>
      </c>
      <c r="X39" s="2" t="s">
        <v>31</v>
      </c>
      <c r="Y39" s="5">
        <v>0</v>
      </c>
      <c r="AA39" s="2">
        <v>12</v>
      </c>
      <c r="AB39" s="2" t="s">
        <v>31</v>
      </c>
      <c r="AC39" s="4">
        <v>0</v>
      </c>
      <c r="AE39" s="2">
        <v>12</v>
      </c>
      <c r="AF39" s="2" t="s">
        <v>31</v>
      </c>
      <c r="AG39" s="4">
        <v>0</v>
      </c>
      <c r="AI39" s="2">
        <v>11</v>
      </c>
      <c r="AJ39" s="2" t="s">
        <v>31</v>
      </c>
      <c r="AK39" s="2">
        <v>0</v>
      </c>
      <c r="AM39" s="2">
        <v>11</v>
      </c>
      <c r="AN39" s="2" t="s">
        <v>31</v>
      </c>
      <c r="AO39" s="2">
        <v>0</v>
      </c>
      <c r="AQ39" s="2">
        <v>11</v>
      </c>
      <c r="AR39" s="2" t="s">
        <v>31</v>
      </c>
      <c r="AU39" s="2">
        <v>11</v>
      </c>
      <c r="AV39" s="2" t="s">
        <v>31</v>
      </c>
      <c r="AY39" s="2">
        <v>11</v>
      </c>
      <c r="AZ39" s="2" t="s">
        <v>31</v>
      </c>
    </row>
    <row r="40" spans="2:53" x14ac:dyDescent="0.25">
      <c r="B40" s="2" t="s">
        <v>32</v>
      </c>
      <c r="C40" s="2">
        <f t="shared" si="0"/>
        <v>0</v>
      </c>
      <c r="G40" s="2">
        <v>13</v>
      </c>
      <c r="H40" s="3" t="s">
        <v>32</v>
      </c>
      <c r="I40" s="3">
        <v>0</v>
      </c>
      <c r="J40" s="3"/>
      <c r="K40" s="3">
        <v>13</v>
      </c>
      <c r="L40" s="3" t="s">
        <v>32</v>
      </c>
      <c r="M40" s="3">
        <v>0</v>
      </c>
      <c r="N40" s="3"/>
      <c r="O40" s="2">
        <v>13</v>
      </c>
      <c r="P40" s="2" t="s">
        <v>32</v>
      </c>
      <c r="Q40" s="2">
        <v>0</v>
      </c>
      <c r="S40" s="2">
        <v>13</v>
      </c>
      <c r="T40" s="2" t="s">
        <v>32</v>
      </c>
      <c r="U40" s="2">
        <v>0</v>
      </c>
      <c r="W40" s="2">
        <v>13</v>
      </c>
      <c r="X40" s="2" t="s">
        <v>32</v>
      </c>
      <c r="Y40" s="5">
        <v>0</v>
      </c>
      <c r="AA40" s="2">
        <v>13</v>
      </c>
      <c r="AB40" s="2" t="s">
        <v>32</v>
      </c>
      <c r="AC40" s="4">
        <v>0</v>
      </c>
      <c r="AE40" s="2">
        <v>13</v>
      </c>
      <c r="AF40" s="2" t="s">
        <v>32</v>
      </c>
      <c r="AG40" s="4">
        <v>0</v>
      </c>
      <c r="AI40" s="2">
        <v>12</v>
      </c>
      <c r="AJ40" s="2" t="s">
        <v>32</v>
      </c>
      <c r="AK40" s="2">
        <v>0</v>
      </c>
      <c r="AM40" s="2">
        <v>12</v>
      </c>
      <c r="AN40" s="2" t="s">
        <v>32</v>
      </c>
      <c r="AO40" s="2">
        <v>0</v>
      </c>
      <c r="AQ40" s="2">
        <v>12</v>
      </c>
      <c r="AR40" s="2" t="s">
        <v>32</v>
      </c>
      <c r="AU40" s="2">
        <v>12</v>
      </c>
      <c r="AV40" s="2" t="s">
        <v>32</v>
      </c>
      <c r="AY40" s="2">
        <v>12</v>
      </c>
      <c r="AZ40" s="2" t="s">
        <v>32</v>
      </c>
      <c r="BA40" s="2">
        <v>0</v>
      </c>
    </row>
    <row r="41" spans="2:53" x14ac:dyDescent="0.25">
      <c r="B41" s="2" t="s">
        <v>33</v>
      </c>
      <c r="C41" s="2">
        <f t="shared" si="0"/>
        <v>488248152</v>
      </c>
      <c r="G41" s="2">
        <v>14</v>
      </c>
      <c r="H41" s="3" t="s">
        <v>33</v>
      </c>
      <c r="I41" s="3">
        <v>0</v>
      </c>
      <c r="J41" s="3"/>
      <c r="K41" s="3">
        <v>14</v>
      </c>
      <c r="L41" s="3" t="s">
        <v>33</v>
      </c>
      <c r="M41" s="3">
        <v>149463720</v>
      </c>
      <c r="N41" s="3"/>
      <c r="O41" s="2">
        <v>14</v>
      </c>
      <c r="P41" s="2" t="s">
        <v>33</v>
      </c>
      <c r="Q41" s="2">
        <v>69749736</v>
      </c>
      <c r="S41" s="2">
        <v>14</v>
      </c>
      <c r="T41" s="2" t="s">
        <v>33</v>
      </c>
      <c r="U41" s="2">
        <v>0</v>
      </c>
      <c r="W41" s="2">
        <v>14</v>
      </c>
      <c r="X41" s="2" t="s">
        <v>33</v>
      </c>
      <c r="Y41" s="5">
        <v>49821240</v>
      </c>
      <c r="AA41" s="2">
        <v>14</v>
      </c>
      <c r="AB41" s="2" t="s">
        <v>33</v>
      </c>
      <c r="AC41" s="4">
        <v>99642480</v>
      </c>
      <c r="AE41" s="2">
        <v>14</v>
      </c>
      <c r="AF41" s="2" t="s">
        <v>33</v>
      </c>
      <c r="AG41" s="4">
        <v>19928496</v>
      </c>
      <c r="AI41" s="2">
        <v>13</v>
      </c>
      <c r="AJ41" s="2" t="s">
        <v>33</v>
      </c>
      <c r="AK41" s="2">
        <v>0</v>
      </c>
      <c r="AM41" s="2">
        <v>13</v>
      </c>
      <c r="AN41" s="2" t="s">
        <v>33</v>
      </c>
      <c r="AO41" s="2">
        <v>99642480</v>
      </c>
      <c r="AQ41" s="2">
        <v>13</v>
      </c>
      <c r="AR41" s="2" t="s">
        <v>33</v>
      </c>
      <c r="AU41" s="2">
        <v>13</v>
      </c>
      <c r="AV41" s="2" t="s">
        <v>33</v>
      </c>
      <c r="AY41" s="2">
        <v>13</v>
      </c>
      <c r="AZ41" s="2" t="s">
        <v>33</v>
      </c>
      <c r="BA41" s="2">
        <v>0</v>
      </c>
    </row>
    <row r="42" spans="2:53" x14ac:dyDescent="0.25">
      <c r="B42" s="2" t="s">
        <v>34</v>
      </c>
      <c r="C42" s="2">
        <f t="shared" si="0"/>
        <v>890581860</v>
      </c>
      <c r="D42" s="2">
        <f>SUM(C39:C42)</f>
        <v>1378830012</v>
      </c>
      <c r="E42" s="1">
        <f>D42/D$49*100</f>
        <v>1.6957448249046825</v>
      </c>
      <c r="G42" s="2">
        <v>15</v>
      </c>
      <c r="H42" s="3" t="s">
        <v>34</v>
      </c>
      <c r="I42" s="3">
        <v>0</v>
      </c>
      <c r="J42" s="3"/>
      <c r="K42" s="3">
        <v>15</v>
      </c>
      <c r="L42" s="3" t="s">
        <v>34</v>
      </c>
      <c r="M42" s="3">
        <v>52867080</v>
      </c>
      <c r="N42" s="3"/>
      <c r="O42" s="2">
        <v>15</v>
      </c>
      <c r="P42" s="2" t="s">
        <v>34</v>
      </c>
      <c r="Q42" s="2">
        <v>105734160</v>
      </c>
      <c r="S42" s="2">
        <v>15</v>
      </c>
      <c r="T42" s="2" t="s">
        <v>34</v>
      </c>
      <c r="U42" s="2">
        <v>0</v>
      </c>
      <c r="W42" s="2">
        <v>15</v>
      </c>
      <c r="X42" s="2" t="s">
        <v>34</v>
      </c>
      <c r="Y42" s="5">
        <v>105734160</v>
      </c>
      <c r="AA42" s="2">
        <v>15</v>
      </c>
      <c r="AB42" s="2" t="s">
        <v>34</v>
      </c>
      <c r="AC42" s="4">
        <v>105734160</v>
      </c>
      <c r="AE42" s="2">
        <v>15</v>
      </c>
      <c r="AF42" s="2" t="s">
        <v>34</v>
      </c>
      <c r="AG42" s="4">
        <v>105734160</v>
      </c>
      <c r="AI42" s="2">
        <v>14</v>
      </c>
      <c r="AJ42" s="2" t="s">
        <v>34</v>
      </c>
      <c r="AK42" s="2">
        <v>0</v>
      </c>
      <c r="AM42" s="2">
        <v>14</v>
      </c>
      <c r="AN42" s="2" t="s">
        <v>34</v>
      </c>
      <c r="AO42" s="2">
        <v>211468320</v>
      </c>
      <c r="AQ42" s="2">
        <v>14</v>
      </c>
      <c r="AR42" s="2" t="s">
        <v>34</v>
      </c>
      <c r="AU42" s="2">
        <v>14</v>
      </c>
      <c r="AV42" s="2" t="s">
        <v>34</v>
      </c>
      <c r="AY42" s="2">
        <v>14</v>
      </c>
      <c r="AZ42" s="2" t="s">
        <v>34</v>
      </c>
      <c r="BA42" s="2">
        <v>203309820</v>
      </c>
    </row>
    <row r="43" spans="2:53" x14ac:dyDescent="0.25">
      <c r="B43" s="2" t="s">
        <v>35</v>
      </c>
      <c r="C43" s="2">
        <f t="shared" si="0"/>
        <v>379006447.5</v>
      </c>
      <c r="G43" s="2">
        <v>17</v>
      </c>
      <c r="H43" s="3" t="s">
        <v>35</v>
      </c>
      <c r="I43" s="3">
        <v>0</v>
      </c>
      <c r="J43" s="3"/>
      <c r="K43" s="3">
        <v>17</v>
      </c>
      <c r="L43" s="3" t="s">
        <v>35</v>
      </c>
      <c r="M43" s="3">
        <v>0</v>
      </c>
      <c r="N43" s="3"/>
      <c r="O43" s="2">
        <v>17</v>
      </c>
      <c r="P43" s="2" t="s">
        <v>35</v>
      </c>
      <c r="Q43" s="2">
        <v>0</v>
      </c>
      <c r="S43" s="2">
        <v>17</v>
      </c>
      <c r="T43" s="2" t="s">
        <v>35</v>
      </c>
      <c r="U43" s="2">
        <v>0</v>
      </c>
      <c r="W43" s="2">
        <v>17</v>
      </c>
      <c r="X43" s="2" t="s">
        <v>35</v>
      </c>
      <c r="Y43" s="5">
        <v>55440337.5</v>
      </c>
      <c r="AA43" s="2">
        <v>17</v>
      </c>
      <c r="AB43" s="2" t="s">
        <v>35</v>
      </c>
      <c r="AC43" s="4">
        <v>0</v>
      </c>
      <c r="AE43" s="2">
        <v>17</v>
      </c>
      <c r="AF43" s="2" t="s">
        <v>35</v>
      </c>
      <c r="AG43" s="4">
        <v>0</v>
      </c>
      <c r="AI43" s="2">
        <v>15</v>
      </c>
      <c r="AJ43" s="2" t="s">
        <v>35</v>
      </c>
      <c r="AK43" s="2">
        <v>0</v>
      </c>
      <c r="AM43" s="2">
        <v>15</v>
      </c>
      <c r="AN43" s="2" t="s">
        <v>35</v>
      </c>
      <c r="AO43" s="2">
        <v>0</v>
      </c>
      <c r="AQ43" s="2">
        <v>15</v>
      </c>
      <c r="AR43" s="2" t="s">
        <v>35</v>
      </c>
      <c r="AU43" s="2">
        <v>15</v>
      </c>
      <c r="AV43" s="2" t="s">
        <v>35</v>
      </c>
      <c r="AY43" s="2">
        <v>15</v>
      </c>
      <c r="AZ43" s="2" t="s">
        <v>35</v>
      </c>
      <c r="BA43" s="2">
        <v>323566110</v>
      </c>
    </row>
    <row r="44" spans="2:53" x14ac:dyDescent="0.25">
      <c r="B44" s="2" t="s">
        <v>36</v>
      </c>
      <c r="C44" s="2">
        <f t="shared" si="0"/>
        <v>229965360</v>
      </c>
      <c r="G44" s="2">
        <v>18</v>
      </c>
      <c r="H44" s="3" t="s">
        <v>36</v>
      </c>
      <c r="I44" s="3">
        <v>0</v>
      </c>
      <c r="J44" s="3"/>
      <c r="K44" s="3">
        <v>18</v>
      </c>
      <c r="L44" s="3" t="s">
        <v>36</v>
      </c>
      <c r="M44" s="3">
        <v>143728350</v>
      </c>
      <c r="N44" s="3"/>
      <c r="O44" s="2">
        <v>18</v>
      </c>
      <c r="P44" s="2" t="s">
        <v>36</v>
      </c>
      <c r="Q44" s="2">
        <v>86237010</v>
      </c>
      <c r="S44" s="2">
        <v>18</v>
      </c>
      <c r="T44" s="2" t="s">
        <v>36</v>
      </c>
      <c r="U44" s="2">
        <v>0</v>
      </c>
      <c r="W44" s="2">
        <v>18</v>
      </c>
      <c r="X44" s="2" t="s">
        <v>36</v>
      </c>
      <c r="Y44" s="5">
        <v>0</v>
      </c>
      <c r="AA44" s="2">
        <v>18</v>
      </c>
      <c r="AB44" s="2" t="s">
        <v>36</v>
      </c>
      <c r="AC44" s="4">
        <v>0</v>
      </c>
      <c r="AE44" s="2">
        <v>18</v>
      </c>
      <c r="AF44" s="2" t="s">
        <v>36</v>
      </c>
      <c r="AG44" s="4">
        <v>0</v>
      </c>
      <c r="AI44" s="2">
        <v>16</v>
      </c>
      <c r="AJ44" s="2" t="s">
        <v>36</v>
      </c>
      <c r="AK44" s="2">
        <v>0</v>
      </c>
      <c r="AM44" s="2">
        <v>16</v>
      </c>
      <c r="AN44" s="2" t="s">
        <v>36</v>
      </c>
      <c r="AO44" s="2">
        <v>0</v>
      </c>
      <c r="AQ44" s="2">
        <v>16</v>
      </c>
      <c r="AR44" s="2" t="s">
        <v>36</v>
      </c>
      <c r="AU44" s="2">
        <v>16</v>
      </c>
      <c r="AV44" s="2" t="s">
        <v>36</v>
      </c>
      <c r="AY44" s="2">
        <v>16</v>
      </c>
      <c r="AZ44" s="2" t="s">
        <v>36</v>
      </c>
    </row>
    <row r="45" spans="2:53" x14ac:dyDescent="0.25">
      <c r="B45" s="2" t="s">
        <v>37</v>
      </c>
      <c r="C45" s="2">
        <f t="shared" si="0"/>
        <v>0</v>
      </c>
      <c r="D45" s="2">
        <f>SUM(C43:C45)</f>
        <v>608971807.5</v>
      </c>
      <c r="E45" s="1">
        <f>D45/D$49*100</f>
        <v>0.74893988533299749</v>
      </c>
      <c r="G45" s="2">
        <v>19</v>
      </c>
      <c r="H45" s="3" t="s">
        <v>37</v>
      </c>
      <c r="I45" s="3">
        <v>0</v>
      </c>
      <c r="J45" s="3"/>
      <c r="K45" s="3">
        <v>19</v>
      </c>
      <c r="L45" s="3" t="s">
        <v>37</v>
      </c>
      <c r="M45" s="3">
        <v>0</v>
      </c>
      <c r="N45" s="3"/>
      <c r="O45" s="2">
        <v>19</v>
      </c>
      <c r="P45" s="2" t="s">
        <v>37</v>
      </c>
      <c r="Q45" s="2">
        <v>0</v>
      </c>
      <c r="S45" s="2">
        <v>19</v>
      </c>
      <c r="T45" s="2" t="s">
        <v>37</v>
      </c>
      <c r="U45" s="2">
        <v>0</v>
      </c>
      <c r="W45" s="2">
        <v>19</v>
      </c>
      <c r="X45" s="2" t="s">
        <v>37</v>
      </c>
      <c r="Y45" s="5">
        <v>0</v>
      </c>
      <c r="AA45" s="2">
        <v>19</v>
      </c>
      <c r="AB45" s="2" t="s">
        <v>37</v>
      </c>
      <c r="AC45" s="4">
        <v>0</v>
      </c>
      <c r="AE45" s="2">
        <v>19</v>
      </c>
      <c r="AF45" s="2" t="s">
        <v>37</v>
      </c>
      <c r="AG45" s="4">
        <v>0</v>
      </c>
      <c r="AI45" s="2">
        <v>17</v>
      </c>
      <c r="AJ45" s="2" t="s">
        <v>37</v>
      </c>
      <c r="AK45" s="2">
        <v>0</v>
      </c>
      <c r="AM45" s="2">
        <v>17</v>
      </c>
      <c r="AN45" s="2" t="s">
        <v>37</v>
      </c>
      <c r="AO45" s="2">
        <v>0</v>
      </c>
      <c r="AQ45" s="2">
        <v>17</v>
      </c>
      <c r="AR45" s="2" t="s">
        <v>37</v>
      </c>
      <c r="AU45" s="2">
        <v>17</v>
      </c>
      <c r="AV45" s="2" t="s">
        <v>37</v>
      </c>
      <c r="AY45" s="2">
        <v>17</v>
      </c>
      <c r="AZ45" s="2" t="s">
        <v>37</v>
      </c>
    </row>
    <row r="46" spans="2:53" x14ac:dyDescent="0.25">
      <c r="H46" s="3"/>
      <c r="I46" s="3"/>
      <c r="J46" s="3"/>
      <c r="K46" s="3"/>
      <c r="L46" s="3"/>
      <c r="M46" s="3"/>
      <c r="N46" s="3"/>
    </row>
    <row r="47" spans="2:53" x14ac:dyDescent="0.25">
      <c r="G47" s="2" t="s">
        <v>38</v>
      </c>
      <c r="H47" s="3"/>
      <c r="I47" s="2">
        <f>SUM(I27:I45)</f>
        <v>0</v>
      </c>
      <c r="J47" s="3"/>
      <c r="K47" s="3" t="s">
        <v>38</v>
      </c>
      <c r="L47" s="3"/>
      <c r="M47" s="2">
        <f>SUM(M27:M45)</f>
        <v>852541050</v>
      </c>
      <c r="N47" s="3"/>
      <c r="O47" s="2" t="s">
        <v>38</v>
      </c>
      <c r="Q47" s="2">
        <f>SUM(Q27:Q45)</f>
        <v>764272296</v>
      </c>
      <c r="S47" s="2" t="s">
        <v>38</v>
      </c>
      <c r="U47" s="2">
        <f>SUM(U27:U45)</f>
        <v>259593480</v>
      </c>
      <c r="W47" s="2" t="s">
        <v>38</v>
      </c>
      <c r="Y47" s="2">
        <f>SUM(Y27:Y45)</f>
        <v>789283260</v>
      </c>
      <c r="AA47" s="2" t="s">
        <v>38</v>
      </c>
      <c r="AC47" s="2">
        <f>SUM(AC27:AC45)</f>
        <v>692420220</v>
      </c>
      <c r="AE47" s="2" t="s">
        <v>38</v>
      </c>
      <c r="AG47" s="2">
        <f>SUM(AG27:AG45)</f>
        <v>990230001</v>
      </c>
      <c r="AI47" s="2" t="s">
        <v>38</v>
      </c>
      <c r="AK47" s="2">
        <f>SUM(AK27:AK45)</f>
        <v>1770617610</v>
      </c>
      <c r="AM47" s="2" t="s">
        <v>38</v>
      </c>
      <c r="AO47" s="2">
        <f>SUM(AO27:AO45)</f>
        <v>1140556635</v>
      </c>
      <c r="AQ47" s="2" t="s">
        <v>38</v>
      </c>
      <c r="AS47" s="2">
        <f>SUM(AS27:AS45)</f>
        <v>410868720</v>
      </c>
      <c r="AU47" s="2" t="s">
        <v>38</v>
      </c>
      <c r="AW47" s="2">
        <f>SUM(AW27:AW45)</f>
        <v>171988950</v>
      </c>
      <c r="AY47" s="2" t="s">
        <v>38</v>
      </c>
      <c r="BA47" s="2">
        <f>SUM(BA27:BA45)</f>
        <v>1175289645</v>
      </c>
    </row>
    <row r="48" spans="2:53" x14ac:dyDescent="0.25">
      <c r="G48" s="2" t="s">
        <v>39</v>
      </c>
      <c r="H48" s="3"/>
      <c r="I48" s="2">
        <f>SUM(I3:I25)</f>
        <v>497798925</v>
      </c>
      <c r="J48" s="3"/>
      <c r="K48" s="3" t="s">
        <v>39</v>
      </c>
      <c r="L48" s="3"/>
      <c r="M48" s="2">
        <f>SUM(M3:M25)</f>
        <v>3587376921</v>
      </c>
      <c r="N48" s="3"/>
      <c r="O48" s="2" t="s">
        <v>39</v>
      </c>
      <c r="Q48" s="2">
        <f>SUM(Q3:Q25)</f>
        <v>6279491445</v>
      </c>
      <c r="S48" s="2" t="s">
        <v>39</v>
      </c>
      <c r="U48" s="2">
        <f>SUM(U3:U25)</f>
        <v>5870470875</v>
      </c>
      <c r="W48" s="2" t="s">
        <v>39</v>
      </c>
      <c r="Y48" s="2">
        <f>SUM(Y3:Y25)</f>
        <v>7281346309.5</v>
      </c>
      <c r="AA48" s="2" t="s">
        <v>39</v>
      </c>
      <c r="AC48" s="2">
        <f>SUM(AC3:AC25)</f>
        <v>6638405405.0999994</v>
      </c>
      <c r="AE48" s="2" t="s">
        <v>39</v>
      </c>
      <c r="AG48" s="2">
        <f>SUM(AG3:AG25)</f>
        <v>4401765717</v>
      </c>
      <c r="AI48" s="2" t="s">
        <v>39</v>
      </c>
      <c r="AK48" s="2">
        <f>SUM(AK3:AK25)</f>
        <v>13326811348.5</v>
      </c>
      <c r="AM48" s="2" t="s">
        <v>39</v>
      </c>
      <c r="AO48" s="2">
        <f>SUM(AO3:AO25)</f>
        <v>10839383655</v>
      </c>
      <c r="AQ48" s="2" t="s">
        <v>39</v>
      </c>
      <c r="AS48" s="2">
        <f>SUM(AS3:AS25)</f>
        <v>383949333</v>
      </c>
      <c r="AU48" s="2" t="s">
        <v>39</v>
      </c>
      <c r="AW48" s="2">
        <f>SUM(AW3:AW25)</f>
        <v>1025184289.5</v>
      </c>
      <c r="AY48" s="2" t="s">
        <v>39</v>
      </c>
      <c r="BA48" s="2">
        <f>SUM(BA3:BA25)</f>
        <v>12161527132.5</v>
      </c>
    </row>
    <row r="49" spans="2:53" x14ac:dyDescent="0.25">
      <c r="B49" s="2">
        <v>95000000000</v>
      </c>
      <c r="C49" s="2">
        <f>SUM(C3:C48)</f>
        <v>81311173223.099991</v>
      </c>
      <c r="D49" s="2">
        <f>SUM(D3:D48)</f>
        <v>81311173223.099991</v>
      </c>
      <c r="E49" s="1">
        <f>D49/D$49*100</f>
        <v>100</v>
      </c>
      <c r="G49" s="2" t="s">
        <v>40</v>
      </c>
      <c r="H49" s="3"/>
      <c r="I49" s="2">
        <f>I48+I47</f>
        <v>497798925</v>
      </c>
      <c r="J49" s="3"/>
      <c r="K49" s="3" t="s">
        <v>40</v>
      </c>
      <c r="L49" s="3"/>
      <c r="M49" s="2">
        <f>M48+M47</f>
        <v>4439917971</v>
      </c>
      <c r="N49" s="3"/>
      <c r="O49" s="2" t="s">
        <v>40</v>
      </c>
      <c r="Q49" s="2">
        <f>Q48+Q47</f>
        <v>7043763741</v>
      </c>
      <c r="S49" s="2" t="s">
        <v>40</v>
      </c>
      <c r="U49" s="2">
        <f>U48+U47</f>
        <v>6130064355</v>
      </c>
      <c r="W49" s="2" t="s">
        <v>40</v>
      </c>
      <c r="Y49" s="2">
        <f>Y48+Y47</f>
        <v>8070629569.5</v>
      </c>
      <c r="AA49" s="2" t="s">
        <v>40</v>
      </c>
      <c r="AC49" s="2">
        <f>AC48+AC47</f>
        <v>7330825625.0999994</v>
      </c>
      <c r="AE49" s="2" t="s">
        <v>40</v>
      </c>
      <c r="AG49" s="2">
        <f>AG48+AG47</f>
        <v>5391995718</v>
      </c>
      <c r="AI49" s="2" t="s">
        <v>40</v>
      </c>
      <c r="AK49" s="2">
        <f>AK48+AK47</f>
        <v>15097428958.5</v>
      </c>
      <c r="AM49" s="2" t="s">
        <v>40</v>
      </c>
      <c r="AO49" s="2">
        <f>AO48+AO47</f>
        <v>11979940290</v>
      </c>
      <c r="AQ49" s="2" t="s">
        <v>40</v>
      </c>
      <c r="AS49" s="2">
        <f>AS48+AS47</f>
        <v>794818053</v>
      </c>
      <c r="AU49" s="2" t="s">
        <v>40</v>
      </c>
      <c r="AW49" s="2">
        <f>AW48+AW47</f>
        <v>1197173239.5</v>
      </c>
      <c r="AY49" s="2" t="s">
        <v>40</v>
      </c>
      <c r="BA49" s="2">
        <f>BA48+BA47</f>
        <v>13336816777.5</v>
      </c>
    </row>
    <row r="50" spans="2:53" x14ac:dyDescent="0.25">
      <c r="B50" s="13">
        <f>C49/B49*100</f>
        <v>85.59070865589473</v>
      </c>
      <c r="C50" s="2">
        <f>C49-C51</f>
        <v>0</v>
      </c>
      <c r="AW50" s="2">
        <f>AW51-AW49</f>
        <v>0</v>
      </c>
      <c r="BA50" s="2">
        <f>BA51-BA49</f>
        <v>0</v>
      </c>
    </row>
    <row r="51" spans="2:53" x14ac:dyDescent="0.25">
      <c r="B51" s="13"/>
      <c r="C51" s="2">
        <f>I51+M51+Q51+U51+Y51+AC51+AG51+AK51+AO51+AS51+AW51+BA51</f>
        <v>81311173223.100006</v>
      </c>
      <c r="I51" s="2">
        <f>SUM(I3:I46)</f>
        <v>497798925</v>
      </c>
      <c r="M51" s="2">
        <f>SUM(M3:M46)</f>
        <v>4439917971</v>
      </c>
      <c r="Q51" s="2">
        <f>SUM(Q3:Q46)</f>
        <v>7043763741</v>
      </c>
      <c r="U51" s="2">
        <f>SUM(U3:U46)</f>
        <v>6130064355</v>
      </c>
      <c r="Y51" s="2">
        <f>SUM(Y3:Y46)</f>
        <v>8070629569.5</v>
      </c>
      <c r="AC51" s="2">
        <f>SUM(AC3:AC46)</f>
        <v>7330825625.0999994</v>
      </c>
      <c r="AG51" s="2">
        <f>SUM(AG3:AG46)</f>
        <v>5391995718</v>
      </c>
      <c r="AK51" s="2">
        <f>SUM(AK3:AK46)</f>
        <v>15097428958.5</v>
      </c>
      <c r="AO51" s="2">
        <f>SUM(AO3:AO46)</f>
        <v>11979940290</v>
      </c>
      <c r="AS51" s="2">
        <f>SUM(AS3:AS46)</f>
        <v>794818053</v>
      </c>
      <c r="AW51" s="2">
        <f>SUM(AW3:AW46)</f>
        <v>1197173239.5</v>
      </c>
      <c r="BA51" s="2">
        <f>SUM(BA3:BA46)</f>
        <v>13336816777.5</v>
      </c>
    </row>
    <row r="52" spans="2:53" x14ac:dyDescent="0.25">
      <c r="I52" s="2">
        <f>I51-I49</f>
        <v>0</v>
      </c>
      <c r="M52" s="2">
        <f>M51-M49</f>
        <v>0</v>
      </c>
    </row>
  </sheetData>
  <mergeCells count="1">
    <mergeCell ref="B50:B5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FB0A-E2E9-456F-9DFE-6277714F8728}">
  <dimension ref="B1:BA52"/>
  <sheetViews>
    <sheetView zoomScaleNormal="100" workbookViewId="0">
      <selection activeCell="AM1" sqref="AM1:BC1048576"/>
    </sheetView>
  </sheetViews>
  <sheetFormatPr defaultColWidth="9.140625" defaultRowHeight="15" x14ac:dyDescent="0.25"/>
  <cols>
    <col min="1" max="1" width="6.7109375" style="2" customWidth="1"/>
    <col min="2" max="2" width="35" style="2" customWidth="1"/>
    <col min="3" max="3" width="18.85546875" style="2" customWidth="1"/>
    <col min="4" max="4" width="19.140625" style="2" customWidth="1"/>
    <col min="5" max="5" width="9.140625" style="1"/>
    <col min="6" max="6" width="6.7109375" style="2" customWidth="1"/>
    <col min="7" max="7" width="6.28515625" style="2" customWidth="1"/>
    <col min="8" max="8" width="30.5703125" style="2" customWidth="1"/>
    <col min="9" max="9" width="14.5703125" style="2" customWidth="1"/>
    <col min="10" max="10" width="5.140625" style="2" customWidth="1"/>
    <col min="11" max="11" width="9.140625" style="2"/>
    <col min="12" max="12" width="31.28515625" style="2" customWidth="1"/>
    <col min="13" max="13" width="16.7109375" style="2" customWidth="1"/>
    <col min="14" max="14" width="5.42578125" style="2" customWidth="1"/>
    <col min="15" max="15" width="9.140625" style="2"/>
    <col min="16" max="16" width="34.42578125" style="2" customWidth="1"/>
    <col min="17" max="17" width="16.7109375" style="2" customWidth="1"/>
    <col min="18" max="18" width="4.28515625" style="2" customWidth="1"/>
    <col min="19" max="19" width="7.42578125" style="2" customWidth="1"/>
    <col min="20" max="20" width="32.28515625" style="2" customWidth="1"/>
    <col min="21" max="21" width="15.85546875" style="2" customWidth="1"/>
    <col min="22" max="22" width="3.7109375" style="2" customWidth="1"/>
    <col min="23" max="23" width="7.7109375" style="2" customWidth="1"/>
    <col min="24" max="24" width="32.28515625" style="2" customWidth="1"/>
    <col min="25" max="25" width="16.85546875" style="2" customWidth="1"/>
    <col min="26" max="26" width="5.42578125" style="2" customWidth="1"/>
    <col min="27" max="27" width="7.28515625" style="2" customWidth="1"/>
    <col min="28" max="28" width="31.5703125" style="2" customWidth="1"/>
    <col min="29" max="29" width="16" style="2" customWidth="1"/>
    <col min="30" max="30" width="5.28515625" style="2" customWidth="1"/>
    <col min="31" max="31" width="6.85546875" style="2" customWidth="1"/>
    <col min="32" max="32" width="31.140625" style="2" customWidth="1"/>
    <col min="33" max="33" width="15.85546875" style="2" customWidth="1"/>
    <col min="34" max="34" width="5.85546875" style="2" customWidth="1"/>
    <col min="35" max="35" width="7" style="2" customWidth="1"/>
    <col min="36" max="36" width="30.28515625" style="2" customWidth="1"/>
    <col min="37" max="37" width="16.42578125" style="2" customWidth="1"/>
    <col min="38" max="38" width="5.28515625" style="2" customWidth="1"/>
    <col min="39" max="39" width="8.28515625" style="2" customWidth="1"/>
    <col min="40" max="40" width="34.7109375" style="2" customWidth="1"/>
    <col min="41" max="41" width="16.7109375" style="2" customWidth="1"/>
    <col min="42" max="43" width="9.140625" style="2"/>
    <col min="44" max="44" width="35.5703125" style="2" customWidth="1"/>
    <col min="45" max="45" width="16.7109375" style="2" customWidth="1"/>
    <col min="46" max="47" width="9.140625" style="2"/>
    <col min="48" max="48" width="33" style="2" customWidth="1"/>
    <col min="49" max="49" width="20" style="2" customWidth="1"/>
    <col min="50" max="51" width="9.140625" style="2"/>
    <col min="52" max="52" width="37" style="2" customWidth="1"/>
    <col min="53" max="53" width="20.42578125" style="2" customWidth="1"/>
    <col min="54" max="16384" width="9.140625" style="2"/>
  </cols>
  <sheetData>
    <row r="1" spans="2:53" x14ac:dyDescent="0.25">
      <c r="B1" s="2" t="s">
        <v>65</v>
      </c>
      <c r="H1" s="6"/>
      <c r="I1" s="10" t="s">
        <v>50</v>
      </c>
      <c r="J1" s="6"/>
      <c r="K1" s="6"/>
      <c r="L1" s="6"/>
      <c r="M1" s="10" t="s">
        <v>51</v>
      </c>
      <c r="N1" s="3"/>
      <c r="Q1" s="11" t="s">
        <v>52</v>
      </c>
      <c r="U1" s="11" t="s">
        <v>49</v>
      </c>
      <c r="Y1" s="11" t="s">
        <v>53</v>
      </c>
      <c r="AC1" s="11" t="s">
        <v>58</v>
      </c>
      <c r="AG1" s="11" t="s">
        <v>59</v>
      </c>
      <c r="AK1" s="11" t="s">
        <v>60</v>
      </c>
      <c r="AO1" s="11" t="s">
        <v>55</v>
      </c>
      <c r="AS1" s="11" t="s">
        <v>56</v>
      </c>
      <c r="AW1" s="11" t="s">
        <v>61</v>
      </c>
      <c r="BA1" s="11" t="s">
        <v>57</v>
      </c>
    </row>
    <row r="2" spans="2:53" x14ac:dyDescent="0.25">
      <c r="H2" s="6"/>
      <c r="I2" s="6"/>
      <c r="J2" s="6"/>
      <c r="K2" s="6"/>
      <c r="L2" s="6"/>
      <c r="M2" s="6"/>
      <c r="N2" s="3"/>
    </row>
    <row r="3" spans="2:53" x14ac:dyDescent="0.25">
      <c r="B3" s="2" t="s">
        <v>0</v>
      </c>
      <c r="C3" s="2">
        <f>I3+M3+Q3+U3+Y3+AC3+AG3+AK3+AO3+AS3+AW3+BA3</f>
        <v>54533525</v>
      </c>
      <c r="G3" s="2">
        <v>1</v>
      </c>
      <c r="H3" s="6" t="s">
        <v>0</v>
      </c>
      <c r="I3" s="6">
        <v>4790594</v>
      </c>
      <c r="J3" s="6"/>
      <c r="K3" s="6">
        <v>1</v>
      </c>
      <c r="L3" s="6" t="s">
        <v>0</v>
      </c>
      <c r="M3" s="6">
        <v>0</v>
      </c>
      <c r="N3" s="3"/>
      <c r="O3" s="2">
        <v>1</v>
      </c>
      <c r="P3" s="2" t="s">
        <v>0</v>
      </c>
      <c r="Q3" s="2">
        <v>0</v>
      </c>
      <c r="S3" s="2">
        <v>1</v>
      </c>
      <c r="T3" s="2" t="s">
        <v>0</v>
      </c>
      <c r="U3" s="4">
        <v>0</v>
      </c>
      <c r="W3" s="2">
        <v>1</v>
      </c>
      <c r="X3" s="2" t="s">
        <v>0</v>
      </c>
      <c r="Y3" s="7">
        <v>6843705</v>
      </c>
      <c r="AA3" s="2">
        <v>1</v>
      </c>
      <c r="AB3" s="2" t="s">
        <v>0</v>
      </c>
      <c r="AC3" s="4">
        <v>4142243</v>
      </c>
      <c r="AE3" s="2">
        <v>1</v>
      </c>
      <c r="AF3" s="2" t="s">
        <v>0</v>
      </c>
      <c r="AG3" s="4">
        <v>2773502</v>
      </c>
      <c r="AI3" s="2">
        <v>1</v>
      </c>
      <c r="AJ3" s="2" t="s">
        <v>0</v>
      </c>
      <c r="AK3" s="2">
        <v>2053112</v>
      </c>
      <c r="AM3" s="2">
        <v>1</v>
      </c>
      <c r="AN3" s="2" t="s">
        <v>0</v>
      </c>
      <c r="AO3" s="2">
        <v>20531115</v>
      </c>
      <c r="AQ3" s="2">
        <v>1</v>
      </c>
      <c r="AR3" s="2" t="s">
        <v>0</v>
      </c>
      <c r="AS3" s="2">
        <v>757020</v>
      </c>
      <c r="AU3" s="2">
        <v>1</v>
      </c>
      <c r="AV3" s="2" t="s">
        <v>0</v>
      </c>
      <c r="AW3" s="2">
        <v>10484727</v>
      </c>
      <c r="AY3" s="2">
        <v>1</v>
      </c>
      <c r="AZ3" s="2" t="s">
        <v>0</v>
      </c>
      <c r="BA3" s="2">
        <v>2157507</v>
      </c>
    </row>
    <row r="4" spans="2:53" x14ac:dyDescent="0.25">
      <c r="B4" s="2" t="s">
        <v>1</v>
      </c>
      <c r="C4" s="2">
        <f t="shared" ref="C4:C45" si="0">I4+M4+Q4+U4+Y4+AC4+AG4+AK4+AO4+AS4+AW4+BA4</f>
        <v>96538978</v>
      </c>
      <c r="G4" s="2">
        <v>2</v>
      </c>
      <c r="H4" s="6" t="s">
        <v>1</v>
      </c>
      <c r="I4" s="6">
        <v>11336153</v>
      </c>
      <c r="J4" s="6"/>
      <c r="K4" s="6">
        <v>2</v>
      </c>
      <c r="L4" s="6" t="s">
        <v>1</v>
      </c>
      <c r="M4" s="6">
        <v>0</v>
      </c>
      <c r="N4" s="3"/>
      <c r="O4" s="2">
        <v>2</v>
      </c>
      <c r="P4" s="2" t="s">
        <v>1</v>
      </c>
      <c r="Q4" s="2">
        <v>7038788</v>
      </c>
      <c r="S4" s="2">
        <v>2</v>
      </c>
      <c r="T4" s="2" t="s">
        <v>1</v>
      </c>
      <c r="U4" s="4">
        <v>0</v>
      </c>
      <c r="W4" s="2">
        <v>2</v>
      </c>
      <c r="X4" s="2" t="s">
        <v>1</v>
      </c>
      <c r="Y4" s="7">
        <v>7038788</v>
      </c>
      <c r="AA4" s="2">
        <v>2</v>
      </c>
      <c r="AB4" s="2" t="s">
        <v>1</v>
      </c>
      <c r="AC4" s="4">
        <v>1481850</v>
      </c>
      <c r="AE4" s="2">
        <v>2</v>
      </c>
      <c r="AF4" s="2" t="s">
        <v>1</v>
      </c>
      <c r="AG4" s="4">
        <v>1481850</v>
      </c>
      <c r="AI4" s="2">
        <v>2</v>
      </c>
      <c r="AJ4" s="2" t="s">
        <v>1</v>
      </c>
      <c r="AK4" s="2">
        <v>7038788</v>
      </c>
      <c r="AM4" s="2">
        <v>2</v>
      </c>
      <c r="AN4" s="2" t="s">
        <v>1</v>
      </c>
      <c r="AO4" s="2">
        <v>39491303</v>
      </c>
      <c r="AQ4" s="2">
        <v>2</v>
      </c>
      <c r="AR4" s="2" t="s">
        <v>1</v>
      </c>
      <c r="AS4" s="2">
        <v>0</v>
      </c>
      <c r="AU4" s="2">
        <v>2</v>
      </c>
      <c r="AV4" s="2" t="s">
        <v>1</v>
      </c>
      <c r="AW4" s="2">
        <v>21631458</v>
      </c>
      <c r="AY4" s="2">
        <v>2</v>
      </c>
      <c r="AZ4" s="2" t="s">
        <v>1</v>
      </c>
      <c r="BA4" s="2">
        <v>0</v>
      </c>
    </row>
    <row r="5" spans="2:53" x14ac:dyDescent="0.25">
      <c r="B5" s="2" t="s">
        <v>2</v>
      </c>
      <c r="C5" s="2">
        <f t="shared" si="0"/>
        <v>284332173</v>
      </c>
      <c r="G5" s="2">
        <v>4</v>
      </c>
      <c r="H5" s="6" t="s">
        <v>2</v>
      </c>
      <c r="I5" s="6">
        <v>31954125</v>
      </c>
      <c r="J5" s="6"/>
      <c r="K5" s="6">
        <v>4</v>
      </c>
      <c r="L5" s="6" t="s">
        <v>41</v>
      </c>
      <c r="M5" s="6">
        <v>13877220</v>
      </c>
      <c r="N5" s="3"/>
      <c r="O5" s="2">
        <v>4</v>
      </c>
      <c r="P5" s="2" t="s">
        <v>45</v>
      </c>
      <c r="Q5" s="2">
        <v>14807800</v>
      </c>
      <c r="S5" s="2">
        <v>4</v>
      </c>
      <c r="T5" s="2" t="s">
        <v>2</v>
      </c>
      <c r="U5" s="4">
        <v>18076905</v>
      </c>
      <c r="W5" s="2">
        <v>4</v>
      </c>
      <c r="X5" s="2" t="s">
        <v>2</v>
      </c>
      <c r="Y5" s="7">
        <v>38162355</v>
      </c>
      <c r="AA5" s="2">
        <v>4</v>
      </c>
      <c r="AB5" s="2" t="s">
        <v>2</v>
      </c>
      <c r="AC5" s="4">
        <v>18076905</v>
      </c>
      <c r="AE5" s="2">
        <v>4</v>
      </c>
      <c r="AF5" s="2" t="s">
        <v>2</v>
      </c>
      <c r="AG5" s="4">
        <v>56239260</v>
      </c>
      <c r="AI5" s="2">
        <v>4</v>
      </c>
      <c r="AJ5" s="2" t="s">
        <v>2</v>
      </c>
      <c r="AK5" s="2">
        <v>22276590</v>
      </c>
      <c r="AM5" s="2">
        <v>4</v>
      </c>
      <c r="AN5" s="2" t="s">
        <v>2</v>
      </c>
      <c r="AO5" s="2">
        <v>36153810</v>
      </c>
      <c r="AQ5" s="2">
        <v>4</v>
      </c>
      <c r="AR5" s="2" t="s">
        <v>2</v>
      </c>
      <c r="AS5" s="2">
        <v>8053605</v>
      </c>
      <c r="AU5" s="2">
        <v>4</v>
      </c>
      <c r="AV5" s="2" t="s">
        <v>2</v>
      </c>
      <c r="AW5" s="2">
        <v>17832983</v>
      </c>
      <c r="AY5" s="2">
        <v>4</v>
      </c>
      <c r="AZ5" s="2" t="s">
        <v>2</v>
      </c>
      <c r="BA5" s="2">
        <v>8820615</v>
      </c>
    </row>
    <row r="6" spans="2:53" x14ac:dyDescent="0.25">
      <c r="B6" s="2" t="s">
        <v>3</v>
      </c>
      <c r="C6" s="2">
        <f t="shared" si="0"/>
        <v>1406711325</v>
      </c>
      <c r="G6" s="2">
        <v>5</v>
      </c>
      <c r="H6" s="6" t="s">
        <v>3</v>
      </c>
      <c r="I6" s="6">
        <v>113993115</v>
      </c>
      <c r="J6" s="6"/>
      <c r="K6" s="6">
        <v>5</v>
      </c>
      <c r="L6" s="6" t="s">
        <v>42</v>
      </c>
      <c r="M6" s="6">
        <v>84813990</v>
      </c>
      <c r="N6" s="3"/>
      <c r="O6" s="2">
        <v>5</v>
      </c>
      <c r="P6" s="2" t="s">
        <v>46</v>
      </c>
      <c r="Q6" s="2">
        <v>59914470</v>
      </c>
      <c r="S6" s="2">
        <v>5</v>
      </c>
      <c r="T6" s="2" t="s">
        <v>3</v>
      </c>
      <c r="U6" s="4">
        <v>91427925</v>
      </c>
      <c r="W6" s="2">
        <v>5</v>
      </c>
      <c r="X6" s="2" t="s">
        <v>3</v>
      </c>
      <c r="Y6" s="7">
        <v>156400110</v>
      </c>
      <c r="AA6" s="2">
        <v>5</v>
      </c>
      <c r="AB6" s="2" t="s">
        <v>3</v>
      </c>
      <c r="AC6" s="4">
        <v>100765245</v>
      </c>
      <c r="AE6" s="2">
        <v>5</v>
      </c>
      <c r="AF6" s="2" t="s">
        <v>3</v>
      </c>
      <c r="AG6" s="4">
        <v>237712605</v>
      </c>
      <c r="AI6" s="2">
        <v>5</v>
      </c>
      <c r="AJ6" s="2" t="s">
        <v>3</v>
      </c>
      <c r="AK6" s="2">
        <v>136947360</v>
      </c>
      <c r="AM6" s="2">
        <v>5</v>
      </c>
      <c r="AN6" s="2" t="s">
        <v>3</v>
      </c>
      <c r="AO6" s="2">
        <v>214369305</v>
      </c>
      <c r="AQ6" s="2">
        <v>5</v>
      </c>
      <c r="AR6" s="2" t="s">
        <v>3</v>
      </c>
      <c r="AS6" s="2">
        <v>31044480</v>
      </c>
      <c r="AU6" s="2">
        <v>5</v>
      </c>
      <c r="AV6" s="2" t="s">
        <v>3</v>
      </c>
      <c r="AW6" s="2">
        <v>54327840</v>
      </c>
      <c r="AY6" s="2">
        <v>5</v>
      </c>
      <c r="AZ6" s="2" t="s">
        <v>3</v>
      </c>
      <c r="BA6" s="2">
        <v>124994880</v>
      </c>
    </row>
    <row r="7" spans="2:53" x14ac:dyDescent="0.25">
      <c r="B7" s="2" t="s">
        <v>4</v>
      </c>
      <c r="C7" s="2">
        <f t="shared" si="0"/>
        <v>39680281</v>
      </c>
      <c r="G7" s="2">
        <v>8</v>
      </c>
      <c r="H7" s="6" t="s">
        <v>4</v>
      </c>
      <c r="I7" s="6">
        <v>730380</v>
      </c>
      <c r="J7" s="6"/>
      <c r="K7" s="6">
        <v>8</v>
      </c>
      <c r="L7" s="6" t="s">
        <v>43</v>
      </c>
      <c r="M7" s="6">
        <v>3469305</v>
      </c>
      <c r="N7" s="3"/>
      <c r="O7" s="2">
        <v>8</v>
      </c>
      <c r="P7" s="2" t="s">
        <v>47</v>
      </c>
      <c r="Q7" s="2">
        <v>0</v>
      </c>
      <c r="S7" s="2">
        <v>8</v>
      </c>
      <c r="T7" s="2" t="s">
        <v>4</v>
      </c>
      <c r="U7" s="4">
        <v>2191140</v>
      </c>
      <c r="W7" s="2">
        <v>8</v>
      </c>
      <c r="X7" s="2" t="s">
        <v>4</v>
      </c>
      <c r="Y7" s="7">
        <v>0</v>
      </c>
      <c r="AA7" s="2">
        <v>8</v>
      </c>
      <c r="AB7" s="2" t="s">
        <v>4</v>
      </c>
      <c r="AC7" s="4">
        <v>7668990</v>
      </c>
      <c r="AE7" s="2">
        <v>8</v>
      </c>
      <c r="AF7" s="2" t="s">
        <v>54</v>
      </c>
      <c r="AG7" s="4">
        <v>4199685</v>
      </c>
      <c r="AJ7" s="2" t="s">
        <v>4</v>
      </c>
      <c r="AK7" s="2">
        <v>4199685</v>
      </c>
      <c r="AN7" s="2" t="s">
        <v>54</v>
      </c>
      <c r="AO7" s="2">
        <v>730380</v>
      </c>
      <c r="AR7" s="2" t="s">
        <v>54</v>
      </c>
      <c r="AS7" s="2">
        <v>4410308</v>
      </c>
      <c r="AV7" s="2" t="s">
        <v>54</v>
      </c>
      <c r="AW7" s="2">
        <v>12080408</v>
      </c>
      <c r="AZ7" s="2" t="s">
        <v>54</v>
      </c>
      <c r="BA7" s="2">
        <v>0</v>
      </c>
    </row>
    <row r="8" spans="2:53" x14ac:dyDescent="0.25">
      <c r="B8" s="2" t="s">
        <v>5</v>
      </c>
      <c r="C8" s="2">
        <f t="shared" si="0"/>
        <v>184999149</v>
      </c>
      <c r="D8" s="2">
        <f>SUM(C3:C8)</f>
        <v>2066795431</v>
      </c>
      <c r="E8" s="1">
        <f>D8/D$49*100</f>
        <v>2.7356693368808478</v>
      </c>
      <c r="G8" s="2">
        <v>9</v>
      </c>
      <c r="H8" s="6" t="s">
        <v>5</v>
      </c>
      <c r="I8" s="6">
        <v>34081218</v>
      </c>
      <c r="J8" s="6"/>
      <c r="K8" s="6">
        <v>9</v>
      </c>
      <c r="L8" s="6" t="s">
        <v>44</v>
      </c>
      <c r="M8" s="6">
        <v>2956818</v>
      </c>
      <c r="N8" s="3"/>
      <c r="O8" s="2">
        <v>9</v>
      </c>
      <c r="P8" s="2" t="s">
        <v>48</v>
      </c>
      <c r="Q8" s="2">
        <v>0</v>
      </c>
      <c r="S8" s="2">
        <v>9</v>
      </c>
      <c r="T8" s="2" t="s">
        <v>5</v>
      </c>
      <c r="U8" s="4">
        <v>1556220</v>
      </c>
      <c r="W8" s="2">
        <v>9</v>
      </c>
      <c r="X8" s="2" t="s">
        <v>5</v>
      </c>
      <c r="Y8" s="7">
        <v>10348863</v>
      </c>
      <c r="AA8" s="2">
        <v>9</v>
      </c>
      <c r="AB8" s="2" t="s">
        <v>5</v>
      </c>
      <c r="AC8" s="4">
        <v>31124400</v>
      </c>
      <c r="AE8" s="2">
        <v>9</v>
      </c>
      <c r="AF8" s="2" t="s">
        <v>5</v>
      </c>
      <c r="AG8" s="4">
        <v>4513038</v>
      </c>
      <c r="AJ8" s="2" t="s">
        <v>5</v>
      </c>
      <c r="AK8" s="2">
        <v>16340310</v>
      </c>
      <c r="AN8" s="2" t="s">
        <v>5</v>
      </c>
      <c r="AO8" s="2">
        <v>21008970</v>
      </c>
      <c r="AR8" s="2" t="s">
        <v>5</v>
      </c>
      <c r="AS8" s="2">
        <v>4656672</v>
      </c>
      <c r="AV8" s="2" t="s">
        <v>5</v>
      </c>
      <c r="AW8" s="2">
        <v>16339200</v>
      </c>
      <c r="AZ8" s="2" t="s">
        <v>5</v>
      </c>
      <c r="BA8" s="2">
        <v>42073440</v>
      </c>
    </row>
    <row r="9" spans="2:53" x14ac:dyDescent="0.25">
      <c r="C9" s="2">
        <f t="shared" si="0"/>
        <v>0</v>
      </c>
      <c r="G9" s="2" t="s">
        <v>6</v>
      </c>
      <c r="H9" s="6"/>
      <c r="I9" s="6"/>
      <c r="J9" s="6"/>
      <c r="K9" s="6" t="s">
        <v>6</v>
      </c>
      <c r="L9" s="6"/>
      <c r="M9" s="6"/>
      <c r="N9" s="3"/>
      <c r="O9" s="2" t="s">
        <v>6</v>
      </c>
      <c r="S9" s="2" t="s">
        <v>6</v>
      </c>
      <c r="W9" s="2" t="s">
        <v>6</v>
      </c>
      <c r="Y9" s="8"/>
      <c r="AA9" s="2" t="s">
        <v>6</v>
      </c>
      <c r="AE9" s="2" t="s">
        <v>6</v>
      </c>
      <c r="AI9" s="2" t="s">
        <v>6</v>
      </c>
      <c r="AM9" s="2" t="s">
        <v>6</v>
      </c>
    </row>
    <row r="10" spans="2:53" x14ac:dyDescent="0.25">
      <c r="C10" s="2">
        <f t="shared" si="0"/>
        <v>0</v>
      </c>
      <c r="H10" s="6"/>
      <c r="I10" s="6"/>
      <c r="J10" s="6"/>
      <c r="K10" s="6"/>
      <c r="L10" s="6"/>
      <c r="M10" s="6"/>
      <c r="N10" s="3"/>
      <c r="Y10" s="8"/>
    </row>
    <row r="11" spans="2:53" x14ac:dyDescent="0.25">
      <c r="B11" s="2" t="s">
        <v>7</v>
      </c>
      <c r="C11" s="2">
        <f t="shared" si="0"/>
        <v>54681930</v>
      </c>
      <c r="G11" s="2">
        <v>12</v>
      </c>
      <c r="H11" s="6" t="s">
        <v>7</v>
      </c>
      <c r="I11" s="6">
        <v>0</v>
      </c>
      <c r="J11" s="6"/>
      <c r="K11" s="6">
        <v>12</v>
      </c>
      <c r="L11" s="6" t="s">
        <v>7</v>
      </c>
      <c r="M11" s="6">
        <v>0</v>
      </c>
      <c r="N11" s="3"/>
      <c r="O11" s="2">
        <v>12</v>
      </c>
      <c r="P11" s="2" t="s">
        <v>7</v>
      </c>
      <c r="Q11" s="2">
        <v>16373610</v>
      </c>
      <c r="S11" s="2">
        <v>12</v>
      </c>
      <c r="T11" s="2" t="s">
        <v>7</v>
      </c>
      <c r="U11" s="4">
        <v>16539000</v>
      </c>
      <c r="W11" s="2">
        <v>12</v>
      </c>
      <c r="X11" s="2" t="s">
        <v>7</v>
      </c>
      <c r="Y11" s="8">
        <v>0</v>
      </c>
      <c r="AA11" s="2">
        <v>12</v>
      </c>
      <c r="AB11" s="2" t="s">
        <v>7</v>
      </c>
      <c r="AC11" s="4">
        <v>0</v>
      </c>
      <c r="AE11" s="2">
        <v>12</v>
      </c>
      <c r="AF11" s="2" t="s">
        <v>7</v>
      </c>
      <c r="AG11" s="2">
        <v>0</v>
      </c>
      <c r="AI11" s="2">
        <v>7</v>
      </c>
      <c r="AJ11" s="2" t="s">
        <v>7</v>
      </c>
      <c r="AK11" s="2">
        <v>661560</v>
      </c>
      <c r="AM11" s="2">
        <v>7</v>
      </c>
      <c r="AN11" s="2" t="s">
        <v>7</v>
      </c>
      <c r="AO11" s="2">
        <v>661560</v>
      </c>
      <c r="AQ11" s="2">
        <v>7</v>
      </c>
      <c r="AR11" s="2" t="s">
        <v>7</v>
      </c>
      <c r="AS11" s="2">
        <v>0</v>
      </c>
      <c r="AU11" s="2">
        <v>7</v>
      </c>
      <c r="AV11" s="2" t="s">
        <v>7</v>
      </c>
      <c r="AW11" s="2">
        <v>13630800</v>
      </c>
      <c r="AY11" s="2">
        <v>7</v>
      </c>
      <c r="AZ11" s="2" t="s">
        <v>7</v>
      </c>
      <c r="BA11" s="2">
        <v>6815400</v>
      </c>
    </row>
    <row r="12" spans="2:53" x14ac:dyDescent="0.25">
      <c r="B12" s="2" t="s">
        <v>8</v>
      </c>
      <c r="C12" s="2">
        <f t="shared" si="0"/>
        <v>108125100</v>
      </c>
      <c r="G12" s="2">
        <v>14</v>
      </c>
      <c r="H12" s="6" t="s">
        <v>8</v>
      </c>
      <c r="I12" s="6">
        <v>0</v>
      </c>
      <c r="J12" s="6"/>
      <c r="K12" s="6">
        <v>14</v>
      </c>
      <c r="L12" s="6" t="s">
        <v>8</v>
      </c>
      <c r="M12" s="6">
        <v>29886750</v>
      </c>
      <c r="N12" s="3"/>
      <c r="O12" s="2">
        <v>14</v>
      </c>
      <c r="P12" s="2" t="s">
        <v>8</v>
      </c>
      <c r="Q12" s="2">
        <v>0</v>
      </c>
      <c r="S12" s="2">
        <v>14</v>
      </c>
      <c r="T12" s="2" t="s">
        <v>8</v>
      </c>
      <c r="U12" s="4">
        <v>29886750</v>
      </c>
      <c r="W12" s="2">
        <v>14</v>
      </c>
      <c r="X12" s="2" t="s">
        <v>8</v>
      </c>
      <c r="Y12" s="8">
        <v>0</v>
      </c>
      <c r="AA12" s="2">
        <v>14</v>
      </c>
      <c r="AB12" s="2" t="s">
        <v>8</v>
      </c>
      <c r="AC12" s="4">
        <v>0</v>
      </c>
      <c r="AE12" s="2">
        <v>14</v>
      </c>
      <c r="AF12" s="2" t="s">
        <v>8</v>
      </c>
      <c r="AG12" s="2">
        <v>0</v>
      </c>
      <c r="AI12" s="2">
        <v>9</v>
      </c>
      <c r="AJ12" s="2" t="s">
        <v>8</v>
      </c>
      <c r="AK12" s="2">
        <v>0</v>
      </c>
      <c r="AM12" s="2">
        <v>9</v>
      </c>
      <c r="AN12" s="2" t="s">
        <v>8</v>
      </c>
      <c r="AO12" s="2">
        <v>29886750</v>
      </c>
      <c r="AQ12" s="2">
        <v>9</v>
      </c>
      <c r="AR12" s="2" t="s">
        <v>8</v>
      </c>
      <c r="AS12" s="2">
        <v>0</v>
      </c>
      <c r="AU12" s="2">
        <v>9</v>
      </c>
      <c r="AV12" s="2" t="s">
        <v>8</v>
      </c>
      <c r="AW12" s="2">
        <v>0</v>
      </c>
      <c r="AY12" s="2">
        <v>9</v>
      </c>
      <c r="AZ12" s="2" t="s">
        <v>8</v>
      </c>
      <c r="BA12" s="2">
        <v>18464850</v>
      </c>
    </row>
    <row r="13" spans="2:53" x14ac:dyDescent="0.25">
      <c r="B13" s="2" t="s">
        <v>9</v>
      </c>
      <c r="C13" s="2">
        <f t="shared" si="0"/>
        <v>238507920</v>
      </c>
      <c r="D13" s="2">
        <f>SUM(C11:C13)</f>
        <v>401314950</v>
      </c>
      <c r="E13" s="1">
        <f>D13/D$49*100</f>
        <v>0.53119190543965866</v>
      </c>
      <c r="G13" s="2">
        <v>16</v>
      </c>
      <c r="H13" s="6" t="s">
        <v>9</v>
      </c>
      <c r="I13" s="6">
        <v>0</v>
      </c>
      <c r="J13" s="6"/>
      <c r="K13" s="6">
        <v>16</v>
      </c>
      <c r="L13" s="6" t="s">
        <v>9</v>
      </c>
      <c r="M13" s="6">
        <v>43956000</v>
      </c>
      <c r="N13" s="3"/>
      <c r="O13" s="2">
        <v>16</v>
      </c>
      <c r="P13" s="2" t="s">
        <v>9</v>
      </c>
      <c r="Q13" s="2">
        <v>0</v>
      </c>
      <c r="S13" s="2">
        <v>16</v>
      </c>
      <c r="T13" s="2" t="s">
        <v>9</v>
      </c>
      <c r="U13" s="4">
        <v>44835120</v>
      </c>
      <c r="W13" s="2">
        <v>16</v>
      </c>
      <c r="X13" s="2" t="s">
        <v>9</v>
      </c>
      <c r="Y13" s="8">
        <v>1758240</v>
      </c>
      <c r="AA13" s="2">
        <v>16</v>
      </c>
      <c r="AB13" s="2" t="s">
        <v>9</v>
      </c>
      <c r="AC13" s="4">
        <v>879120</v>
      </c>
      <c r="AE13" s="2">
        <v>16</v>
      </c>
      <c r="AF13" s="2" t="s">
        <v>9</v>
      </c>
      <c r="AG13" s="2">
        <v>0</v>
      </c>
      <c r="AI13" s="2">
        <v>11</v>
      </c>
      <c r="AJ13" s="2" t="s">
        <v>9</v>
      </c>
      <c r="AK13" s="2">
        <v>1758240</v>
      </c>
      <c r="AM13" s="2">
        <v>11</v>
      </c>
      <c r="AN13" s="2" t="s">
        <v>9</v>
      </c>
      <c r="AO13" s="2">
        <v>46593360</v>
      </c>
      <c r="AQ13" s="2">
        <v>11</v>
      </c>
      <c r="AR13" s="2" t="s">
        <v>9</v>
      </c>
      <c r="AS13" s="2">
        <v>36230400</v>
      </c>
      <c r="AU13" s="2">
        <v>11</v>
      </c>
      <c r="AV13" s="2" t="s">
        <v>9</v>
      </c>
      <c r="AW13" s="2">
        <v>28984320</v>
      </c>
      <c r="AY13" s="2">
        <v>11</v>
      </c>
      <c r="AZ13" s="2" t="s">
        <v>9</v>
      </c>
      <c r="BA13" s="2">
        <v>33513120</v>
      </c>
    </row>
    <row r="14" spans="2:53" x14ac:dyDescent="0.25">
      <c r="B14" s="2" t="s">
        <v>10</v>
      </c>
      <c r="C14" s="2">
        <f t="shared" si="0"/>
        <v>11356257597</v>
      </c>
      <c r="G14" s="2">
        <v>18</v>
      </c>
      <c r="H14" s="6" t="s">
        <v>10</v>
      </c>
      <c r="I14" s="6">
        <v>241865670</v>
      </c>
      <c r="J14" s="6"/>
      <c r="K14" s="6">
        <v>18</v>
      </c>
      <c r="L14" s="6" t="s">
        <v>10</v>
      </c>
      <c r="M14" s="6">
        <v>150382800</v>
      </c>
      <c r="N14" s="3"/>
      <c r="O14" s="2">
        <v>18</v>
      </c>
      <c r="P14" s="2" t="s">
        <v>10</v>
      </c>
      <c r="Q14" s="2">
        <v>240612480</v>
      </c>
      <c r="S14" s="2">
        <v>18</v>
      </c>
      <c r="T14" s="2" t="s">
        <v>10</v>
      </c>
      <c r="U14" s="4">
        <v>390368685</v>
      </c>
      <c r="W14" s="2">
        <v>18</v>
      </c>
      <c r="X14" s="2" t="s">
        <v>10</v>
      </c>
      <c r="Y14" s="8">
        <v>770711850</v>
      </c>
      <c r="AA14" s="2">
        <v>18</v>
      </c>
      <c r="AB14" s="2" t="s">
        <v>10</v>
      </c>
      <c r="AC14" s="4">
        <v>1302064410</v>
      </c>
      <c r="AE14" s="2">
        <v>18</v>
      </c>
      <c r="AF14" s="2" t="s">
        <v>10</v>
      </c>
      <c r="AG14" s="4">
        <v>920468055</v>
      </c>
      <c r="AI14" s="2">
        <v>13</v>
      </c>
      <c r="AJ14" s="2" t="s">
        <v>10</v>
      </c>
      <c r="AK14" s="2">
        <v>1807099980</v>
      </c>
      <c r="AM14" s="2">
        <v>13</v>
      </c>
      <c r="AN14" s="2" t="s">
        <v>10</v>
      </c>
      <c r="AO14" s="2">
        <v>3793155492</v>
      </c>
      <c r="AQ14" s="2">
        <v>13</v>
      </c>
      <c r="AR14" s="2" t="s">
        <v>10</v>
      </c>
      <c r="AS14" s="2">
        <v>0</v>
      </c>
      <c r="AU14" s="2">
        <v>13</v>
      </c>
      <c r="AV14" s="2" t="s">
        <v>10</v>
      </c>
      <c r="AW14" s="4">
        <v>63255570</v>
      </c>
      <c r="AY14" s="2">
        <v>13</v>
      </c>
      <c r="AZ14" s="2" t="s">
        <v>10</v>
      </c>
      <c r="BA14" s="2">
        <v>1676272605</v>
      </c>
    </row>
    <row r="15" spans="2:53" x14ac:dyDescent="0.25">
      <c r="B15" s="2" t="s">
        <v>11</v>
      </c>
      <c r="C15" s="2">
        <f t="shared" si="0"/>
        <v>27317000489</v>
      </c>
      <c r="G15" s="2">
        <v>19</v>
      </c>
      <c r="H15" s="6" t="s">
        <v>11</v>
      </c>
      <c r="I15" s="6">
        <v>565535010</v>
      </c>
      <c r="J15" s="6"/>
      <c r="K15" s="6">
        <v>19</v>
      </c>
      <c r="L15" s="6" t="s">
        <v>11</v>
      </c>
      <c r="M15" s="6">
        <v>470462400</v>
      </c>
      <c r="N15" s="3"/>
      <c r="O15" s="2">
        <v>19</v>
      </c>
      <c r="P15" s="2" t="s">
        <v>11</v>
      </c>
      <c r="Q15" s="2">
        <v>3142296780</v>
      </c>
      <c r="S15" s="2">
        <v>19</v>
      </c>
      <c r="T15" s="2" t="s">
        <v>11</v>
      </c>
      <c r="U15" s="4">
        <v>2282722770</v>
      </c>
      <c r="W15" s="2">
        <v>19</v>
      </c>
      <c r="X15" s="2" t="s">
        <v>11</v>
      </c>
      <c r="Y15" s="8">
        <v>1579969560</v>
      </c>
      <c r="AA15" s="2">
        <v>19</v>
      </c>
      <c r="AB15" s="2" t="s">
        <v>11</v>
      </c>
      <c r="AC15" s="4">
        <v>2391762233</v>
      </c>
      <c r="AE15" s="2">
        <v>19</v>
      </c>
      <c r="AF15" s="2" t="s">
        <v>11</v>
      </c>
      <c r="AG15" s="4">
        <v>2833065765</v>
      </c>
      <c r="AI15" s="2">
        <v>14</v>
      </c>
      <c r="AJ15" s="2" t="s">
        <v>11</v>
      </c>
      <c r="AK15" s="2">
        <v>3486322410</v>
      </c>
      <c r="AM15" s="2">
        <v>14</v>
      </c>
      <c r="AN15" s="2" t="s">
        <v>11</v>
      </c>
      <c r="AO15" s="2">
        <v>6738099711</v>
      </c>
      <c r="AQ15" s="2">
        <v>14</v>
      </c>
      <c r="AR15" s="2" t="s">
        <v>11</v>
      </c>
      <c r="AS15" s="2">
        <v>0</v>
      </c>
      <c r="AU15" s="2">
        <v>14</v>
      </c>
      <c r="AV15" s="2" t="s">
        <v>11</v>
      </c>
      <c r="AW15" s="4">
        <v>194949300</v>
      </c>
      <c r="AY15" s="2">
        <v>14</v>
      </c>
      <c r="AZ15" s="2" t="s">
        <v>11</v>
      </c>
      <c r="BA15" s="2">
        <v>3631814550</v>
      </c>
    </row>
    <row r="16" spans="2:53" x14ac:dyDescent="0.25">
      <c r="B16" s="2" t="s">
        <v>12</v>
      </c>
      <c r="C16" s="2">
        <f t="shared" si="0"/>
        <v>7261198422</v>
      </c>
      <c r="G16" s="2">
        <v>20</v>
      </c>
      <c r="H16" s="6" t="s">
        <v>12</v>
      </c>
      <c r="I16" s="6">
        <v>270662400</v>
      </c>
      <c r="J16" s="6"/>
      <c r="K16" s="6">
        <v>20</v>
      </c>
      <c r="L16" s="6" t="s">
        <v>12</v>
      </c>
      <c r="M16" s="6">
        <v>136458960</v>
      </c>
      <c r="N16" s="3"/>
      <c r="O16" s="2">
        <v>20</v>
      </c>
      <c r="P16" s="2" t="s">
        <v>12</v>
      </c>
      <c r="Q16" s="2">
        <v>162397440</v>
      </c>
      <c r="S16" s="2">
        <v>20</v>
      </c>
      <c r="T16" s="2" t="s">
        <v>12</v>
      </c>
      <c r="U16" s="4">
        <v>350169480</v>
      </c>
      <c r="W16" s="2">
        <v>20</v>
      </c>
      <c r="X16" s="2" t="s">
        <v>12</v>
      </c>
      <c r="Y16" s="8">
        <v>692444640</v>
      </c>
      <c r="AA16" s="2">
        <v>20</v>
      </c>
      <c r="AB16" s="2" t="s">
        <v>12</v>
      </c>
      <c r="AC16" s="4">
        <v>828621660</v>
      </c>
      <c r="AE16" s="2">
        <v>20</v>
      </c>
      <c r="AF16" s="2" t="s">
        <v>12</v>
      </c>
      <c r="AG16" s="4">
        <v>298292520</v>
      </c>
      <c r="AI16" s="2">
        <v>15</v>
      </c>
      <c r="AJ16" s="2" t="s">
        <v>12</v>
      </c>
      <c r="AK16" s="2">
        <v>1015547880</v>
      </c>
      <c r="AM16" s="2">
        <v>15</v>
      </c>
      <c r="AN16" s="2" t="s">
        <v>12</v>
      </c>
      <c r="AO16" s="2">
        <v>2083874928</v>
      </c>
      <c r="AQ16" s="2">
        <v>15</v>
      </c>
      <c r="AR16" s="2" t="s">
        <v>12</v>
      </c>
      <c r="AS16" s="2">
        <v>1162170</v>
      </c>
      <c r="AU16" s="2">
        <v>15</v>
      </c>
      <c r="AV16" s="2" t="s">
        <v>12</v>
      </c>
      <c r="AW16" s="4">
        <v>112730490</v>
      </c>
      <c r="AY16" s="2">
        <v>15</v>
      </c>
      <c r="AZ16" s="2" t="s">
        <v>12</v>
      </c>
      <c r="BA16" s="2">
        <v>1308835854</v>
      </c>
    </row>
    <row r="17" spans="2:53" x14ac:dyDescent="0.25">
      <c r="B17" s="2" t="s">
        <v>13</v>
      </c>
      <c r="C17" s="2">
        <f t="shared" si="0"/>
        <v>16165799907</v>
      </c>
      <c r="D17" s="2">
        <f>SUM(C14:C17)</f>
        <v>62100256415</v>
      </c>
      <c r="E17" s="1">
        <f>D17/D$49*100</f>
        <v>82.197669270420249</v>
      </c>
      <c r="G17" s="2">
        <v>21</v>
      </c>
      <c r="H17" s="6" t="s">
        <v>13</v>
      </c>
      <c r="I17" s="6">
        <v>385540740</v>
      </c>
      <c r="J17" s="6"/>
      <c r="K17" s="6">
        <v>21</v>
      </c>
      <c r="L17" s="6" t="s">
        <v>13</v>
      </c>
      <c r="M17" s="6">
        <v>1038671400</v>
      </c>
      <c r="N17" s="3"/>
      <c r="O17" s="2">
        <v>21</v>
      </c>
      <c r="P17" s="2" t="s">
        <v>13</v>
      </c>
      <c r="Q17" s="2">
        <v>1043072550</v>
      </c>
      <c r="S17" s="2">
        <v>21</v>
      </c>
      <c r="T17" s="2" t="s">
        <v>13</v>
      </c>
      <c r="U17" s="4">
        <v>549263520</v>
      </c>
      <c r="W17" s="2">
        <v>21</v>
      </c>
      <c r="X17" s="2" t="s">
        <v>13</v>
      </c>
      <c r="Y17" s="8">
        <v>1825597020</v>
      </c>
      <c r="AA17" s="2">
        <v>21</v>
      </c>
      <c r="AB17" s="2" t="s">
        <v>13</v>
      </c>
      <c r="AC17" s="4">
        <v>1300099710</v>
      </c>
      <c r="AE17" s="2">
        <v>21</v>
      </c>
      <c r="AF17" s="2" t="s">
        <v>13</v>
      </c>
      <c r="AG17" s="4">
        <v>1587494805</v>
      </c>
      <c r="AI17" s="2">
        <v>16</v>
      </c>
      <c r="AJ17" s="2" t="s">
        <v>13</v>
      </c>
      <c r="AK17" s="2">
        <v>1985358765</v>
      </c>
      <c r="AM17" s="2">
        <v>16</v>
      </c>
      <c r="AN17" s="2" t="s">
        <v>13</v>
      </c>
      <c r="AO17" s="2">
        <v>4145619231</v>
      </c>
      <c r="AQ17" s="2">
        <v>16</v>
      </c>
      <c r="AR17" s="2" t="s">
        <v>13</v>
      </c>
      <c r="AS17" s="2">
        <v>0</v>
      </c>
      <c r="AU17" s="2">
        <v>16</v>
      </c>
      <c r="AV17" s="2" t="s">
        <v>13</v>
      </c>
      <c r="AW17" s="4">
        <v>134216760</v>
      </c>
      <c r="AY17" s="2">
        <v>16</v>
      </c>
      <c r="AZ17" s="2" t="s">
        <v>13</v>
      </c>
      <c r="BA17" s="2">
        <v>2170865406</v>
      </c>
    </row>
    <row r="18" spans="2:53" x14ac:dyDescent="0.25">
      <c r="B18" s="2" t="s">
        <v>14</v>
      </c>
      <c r="C18" s="2">
        <f t="shared" si="0"/>
        <v>0</v>
      </c>
      <c r="D18" s="2">
        <f>C18</f>
        <v>0</v>
      </c>
      <c r="E18" s="1">
        <f>D18/D$49*100</f>
        <v>0</v>
      </c>
      <c r="G18" s="2">
        <v>22</v>
      </c>
      <c r="H18" s="6" t="s">
        <v>14</v>
      </c>
      <c r="I18" s="6">
        <v>0</v>
      </c>
      <c r="J18" s="6"/>
      <c r="K18" s="6">
        <v>22</v>
      </c>
      <c r="L18" s="6" t="s">
        <v>14</v>
      </c>
      <c r="M18" s="6"/>
      <c r="N18" s="3"/>
      <c r="O18" s="2">
        <v>22</v>
      </c>
      <c r="P18" s="2" t="s">
        <v>14</v>
      </c>
      <c r="S18" s="2">
        <v>22</v>
      </c>
      <c r="T18" s="2" t="s">
        <v>14</v>
      </c>
      <c r="U18" s="4">
        <v>0</v>
      </c>
      <c r="W18" s="2">
        <v>22</v>
      </c>
      <c r="X18" s="2" t="s">
        <v>14</v>
      </c>
      <c r="Y18" s="8">
        <v>0</v>
      </c>
      <c r="AA18" s="2">
        <v>22</v>
      </c>
      <c r="AB18" s="2" t="s">
        <v>14</v>
      </c>
      <c r="AC18" s="4"/>
      <c r="AE18" s="2">
        <v>22</v>
      </c>
      <c r="AF18" s="2" t="s">
        <v>14</v>
      </c>
      <c r="AG18" s="4">
        <v>0</v>
      </c>
      <c r="AI18" s="2">
        <v>17</v>
      </c>
      <c r="AJ18" s="2" t="s">
        <v>14</v>
      </c>
      <c r="AM18" s="2">
        <v>17</v>
      </c>
      <c r="AN18" s="2" t="s">
        <v>14</v>
      </c>
      <c r="AO18" s="2">
        <v>0</v>
      </c>
      <c r="AQ18" s="2">
        <v>17</v>
      </c>
      <c r="AR18" s="2" t="s">
        <v>14</v>
      </c>
      <c r="AS18" s="2">
        <v>0</v>
      </c>
      <c r="AU18" s="2">
        <v>17</v>
      </c>
      <c r="AV18" s="2" t="s">
        <v>14</v>
      </c>
      <c r="AW18" s="2">
        <v>0</v>
      </c>
      <c r="AY18" s="2">
        <v>17</v>
      </c>
      <c r="AZ18" s="2" t="s">
        <v>14</v>
      </c>
    </row>
    <row r="19" spans="2:53" x14ac:dyDescent="0.25">
      <c r="C19" s="2">
        <f t="shared" si="0"/>
        <v>0</v>
      </c>
      <c r="H19" s="6"/>
      <c r="I19" s="6"/>
      <c r="J19" s="6"/>
      <c r="K19" s="6"/>
      <c r="L19" s="6"/>
      <c r="M19" s="6"/>
      <c r="N19" s="3"/>
      <c r="Y19" s="8"/>
      <c r="AO19" s="2">
        <v>0</v>
      </c>
    </row>
    <row r="20" spans="2:53" x14ac:dyDescent="0.25">
      <c r="B20" s="2" t="s">
        <v>62</v>
      </c>
      <c r="C20" s="2">
        <f t="shared" si="0"/>
        <v>0</v>
      </c>
      <c r="G20" s="2">
        <v>23</v>
      </c>
      <c r="H20" s="6" t="s">
        <v>15</v>
      </c>
      <c r="I20" s="6">
        <v>0</v>
      </c>
      <c r="J20" s="6"/>
      <c r="K20" s="6">
        <v>23</v>
      </c>
      <c r="L20" s="6" t="s">
        <v>15</v>
      </c>
      <c r="M20" s="6">
        <v>0</v>
      </c>
      <c r="N20" s="3"/>
      <c r="O20" s="2">
        <v>23</v>
      </c>
      <c r="P20" s="2" t="s">
        <v>15</v>
      </c>
      <c r="Q20" s="2">
        <v>0</v>
      </c>
      <c r="S20" s="2">
        <v>23</v>
      </c>
      <c r="T20" s="2" t="s">
        <v>15</v>
      </c>
      <c r="U20" s="2">
        <v>0</v>
      </c>
      <c r="W20" s="2">
        <v>23</v>
      </c>
      <c r="X20" s="2" t="s">
        <v>15</v>
      </c>
      <c r="Y20" s="7">
        <v>0</v>
      </c>
      <c r="AA20" s="2">
        <v>23</v>
      </c>
      <c r="AB20" s="2" t="s">
        <v>15</v>
      </c>
      <c r="AC20" s="4">
        <v>0</v>
      </c>
      <c r="AE20" s="2">
        <v>23</v>
      </c>
      <c r="AF20" s="2" t="s">
        <v>15</v>
      </c>
      <c r="AG20" s="4">
        <v>0</v>
      </c>
      <c r="AI20" s="2">
        <v>18</v>
      </c>
      <c r="AJ20" s="2" t="s">
        <v>15</v>
      </c>
      <c r="AK20" s="2">
        <v>0</v>
      </c>
      <c r="AM20" s="2">
        <v>18</v>
      </c>
      <c r="AN20" s="2" t="s">
        <v>15</v>
      </c>
      <c r="AO20" s="2">
        <v>0</v>
      </c>
      <c r="AQ20" s="2">
        <v>18</v>
      </c>
      <c r="AR20" s="2" t="s">
        <v>15</v>
      </c>
      <c r="AS20" s="2">
        <v>0</v>
      </c>
      <c r="AU20" s="2">
        <v>18</v>
      </c>
      <c r="AV20" s="2" t="s">
        <v>15</v>
      </c>
      <c r="AW20" s="2">
        <v>0</v>
      </c>
      <c r="AY20" s="2">
        <v>18</v>
      </c>
      <c r="AZ20" s="2" t="s">
        <v>15</v>
      </c>
    </row>
    <row r="21" spans="2:53" x14ac:dyDescent="0.25">
      <c r="B21" s="2" t="s">
        <v>16</v>
      </c>
      <c r="C21" s="2">
        <f t="shared" si="0"/>
        <v>0</v>
      </c>
      <c r="D21" s="2">
        <f>SUM(C20:C21)</f>
        <v>0</v>
      </c>
      <c r="E21" s="1">
        <f>D21/D$49*100</f>
        <v>0</v>
      </c>
      <c r="G21" s="2">
        <v>24</v>
      </c>
      <c r="H21" s="6" t="s">
        <v>16</v>
      </c>
      <c r="I21" s="6">
        <v>0</v>
      </c>
      <c r="J21" s="6"/>
      <c r="K21" s="6">
        <v>24</v>
      </c>
      <c r="L21" s="6" t="s">
        <v>16</v>
      </c>
      <c r="M21" s="6">
        <v>0</v>
      </c>
      <c r="N21" s="3"/>
      <c r="O21" s="2">
        <v>24</v>
      </c>
      <c r="P21" s="2" t="s">
        <v>16</v>
      </c>
      <c r="Q21" s="2">
        <v>0</v>
      </c>
      <c r="S21" s="2">
        <v>24</v>
      </c>
      <c r="T21" s="2" t="s">
        <v>16</v>
      </c>
      <c r="U21" s="2">
        <v>0</v>
      </c>
      <c r="W21" s="2">
        <v>24</v>
      </c>
      <c r="X21" s="2" t="s">
        <v>16</v>
      </c>
      <c r="Y21" s="7">
        <v>0</v>
      </c>
      <c r="AA21" s="2">
        <v>24</v>
      </c>
      <c r="AB21" s="2" t="s">
        <v>16</v>
      </c>
      <c r="AC21" s="4">
        <v>0</v>
      </c>
      <c r="AE21" s="2">
        <v>24</v>
      </c>
      <c r="AF21" s="2" t="s">
        <v>16</v>
      </c>
      <c r="AG21" s="4">
        <v>0</v>
      </c>
      <c r="AI21" s="2">
        <v>19</v>
      </c>
      <c r="AJ21" s="2" t="s">
        <v>16</v>
      </c>
      <c r="AK21" s="2">
        <v>0</v>
      </c>
      <c r="AM21" s="2">
        <v>19</v>
      </c>
      <c r="AN21" s="2" t="s">
        <v>16</v>
      </c>
      <c r="AO21" s="2">
        <v>0</v>
      </c>
      <c r="AQ21" s="2">
        <v>19</v>
      </c>
      <c r="AR21" s="2" t="s">
        <v>16</v>
      </c>
      <c r="AS21" s="2">
        <v>0</v>
      </c>
      <c r="AU21" s="2">
        <v>19</v>
      </c>
      <c r="AV21" s="2" t="s">
        <v>16</v>
      </c>
      <c r="AW21" s="2">
        <v>0</v>
      </c>
      <c r="AY21" s="2">
        <v>19</v>
      </c>
      <c r="AZ21" s="2" t="s">
        <v>16</v>
      </c>
    </row>
    <row r="22" spans="2:53" x14ac:dyDescent="0.25">
      <c r="B22" s="2" t="s">
        <v>17</v>
      </c>
      <c r="C22" s="2">
        <f t="shared" si="0"/>
        <v>41275350</v>
      </c>
      <c r="G22" s="2">
        <v>26</v>
      </c>
      <c r="H22" s="6" t="s">
        <v>17</v>
      </c>
      <c r="I22" s="6">
        <v>8852250</v>
      </c>
      <c r="J22" s="6"/>
      <c r="K22" s="6">
        <v>26</v>
      </c>
      <c r="L22" s="6" t="s">
        <v>17</v>
      </c>
      <c r="M22" s="6">
        <v>14163600</v>
      </c>
      <c r="N22" s="3"/>
      <c r="O22" s="2">
        <v>26</v>
      </c>
      <c r="P22" s="2" t="s">
        <v>17</v>
      </c>
      <c r="Q22" s="2">
        <v>0</v>
      </c>
      <c r="S22" s="2">
        <v>26</v>
      </c>
      <c r="T22" s="2" t="s">
        <v>17</v>
      </c>
      <c r="U22" s="2">
        <v>0</v>
      </c>
      <c r="W22" s="2">
        <v>26</v>
      </c>
      <c r="X22" s="2" t="s">
        <v>17</v>
      </c>
      <c r="Y22" s="7">
        <v>0</v>
      </c>
      <c r="AA22" s="2">
        <v>26</v>
      </c>
      <c r="AB22" s="2" t="s">
        <v>17</v>
      </c>
      <c r="AC22" s="4">
        <v>0</v>
      </c>
      <c r="AE22" s="2">
        <v>26</v>
      </c>
      <c r="AF22" s="2" t="s">
        <v>17</v>
      </c>
      <c r="AG22" s="4">
        <v>0</v>
      </c>
      <c r="AI22" s="2">
        <v>20</v>
      </c>
      <c r="AJ22" s="2" t="s">
        <v>17</v>
      </c>
      <c r="AK22" s="2">
        <v>0</v>
      </c>
      <c r="AM22" s="2">
        <v>20</v>
      </c>
      <c r="AN22" s="2" t="s">
        <v>17</v>
      </c>
      <c r="AO22" s="2">
        <v>0</v>
      </c>
      <c r="AQ22" s="2">
        <v>20</v>
      </c>
      <c r="AR22" s="2" t="s">
        <v>17</v>
      </c>
      <c r="AS22" s="2">
        <v>0</v>
      </c>
      <c r="AU22" s="2">
        <v>20</v>
      </c>
      <c r="AV22" s="2" t="s">
        <v>17</v>
      </c>
      <c r="AW22" s="2">
        <v>0</v>
      </c>
      <c r="AY22" s="2">
        <v>20</v>
      </c>
      <c r="AZ22" s="2" t="s">
        <v>17</v>
      </c>
      <c r="BA22" s="2">
        <v>18259500</v>
      </c>
    </row>
    <row r="23" spans="2:53" x14ac:dyDescent="0.25">
      <c r="B23" s="2" t="s">
        <v>18</v>
      </c>
      <c r="C23" s="2">
        <f t="shared" si="0"/>
        <v>65477790</v>
      </c>
      <c r="D23" s="2">
        <f>SUM(C22:C23)</f>
        <v>106753140</v>
      </c>
      <c r="E23" s="1">
        <f>D23/D$49*100</f>
        <v>0.14130149860668445</v>
      </c>
      <c r="G23" s="2">
        <v>28</v>
      </c>
      <c r="H23" s="6" t="s">
        <v>18</v>
      </c>
      <c r="I23" s="6">
        <v>34592040</v>
      </c>
      <c r="J23" s="6"/>
      <c r="K23" s="6">
        <v>28</v>
      </c>
      <c r="L23" s="6" t="s">
        <v>18</v>
      </c>
      <c r="M23" s="6">
        <v>30885750</v>
      </c>
      <c r="N23" s="3"/>
      <c r="O23" s="2">
        <v>28</v>
      </c>
      <c r="P23" s="2" t="s">
        <v>18</v>
      </c>
      <c r="Q23" s="2">
        <v>0</v>
      </c>
      <c r="S23" s="2">
        <v>28</v>
      </c>
      <c r="T23" s="2" t="s">
        <v>18</v>
      </c>
      <c r="U23" s="2">
        <v>0</v>
      </c>
      <c r="W23" s="2">
        <v>28</v>
      </c>
      <c r="X23" s="2" t="s">
        <v>18</v>
      </c>
      <c r="Y23" s="7">
        <v>0</v>
      </c>
      <c r="AA23" s="2">
        <v>28</v>
      </c>
      <c r="AB23" s="2" t="s">
        <v>18</v>
      </c>
      <c r="AC23" s="4">
        <v>0</v>
      </c>
      <c r="AE23" s="2">
        <v>28</v>
      </c>
      <c r="AF23" s="2" t="s">
        <v>18</v>
      </c>
      <c r="AG23" s="4">
        <v>0</v>
      </c>
      <c r="AI23" s="2">
        <v>21</v>
      </c>
      <c r="AJ23" s="2" t="s">
        <v>18</v>
      </c>
      <c r="AK23" s="2">
        <v>0</v>
      </c>
      <c r="AM23" s="2">
        <v>21</v>
      </c>
      <c r="AN23" s="2" t="s">
        <v>18</v>
      </c>
      <c r="AO23" s="2">
        <v>0</v>
      </c>
      <c r="AQ23" s="2">
        <v>21</v>
      </c>
      <c r="AR23" s="2" t="s">
        <v>18</v>
      </c>
      <c r="AS23" s="2">
        <v>0</v>
      </c>
      <c r="AU23" s="2">
        <v>21</v>
      </c>
      <c r="AV23" s="2" t="s">
        <v>18</v>
      </c>
      <c r="AW23" s="2">
        <v>0</v>
      </c>
      <c r="AY23" s="2">
        <v>21</v>
      </c>
      <c r="AZ23" s="2" t="s">
        <v>18</v>
      </c>
    </row>
    <row r="24" spans="2:53" x14ac:dyDescent="0.25">
      <c r="B24" s="2" t="s">
        <v>19</v>
      </c>
      <c r="C24" s="2">
        <f t="shared" si="0"/>
        <v>294110595</v>
      </c>
      <c r="G24" s="2">
        <v>30</v>
      </c>
      <c r="H24" s="6" t="s">
        <v>19</v>
      </c>
      <c r="I24" s="6">
        <v>0</v>
      </c>
      <c r="J24" s="6"/>
      <c r="K24" s="6">
        <v>30</v>
      </c>
      <c r="L24" s="6" t="s">
        <v>19</v>
      </c>
      <c r="M24" s="6">
        <v>0</v>
      </c>
      <c r="N24" s="3"/>
      <c r="O24" s="2">
        <v>30</v>
      </c>
      <c r="P24" s="2" t="s">
        <v>19</v>
      </c>
      <c r="Q24" s="2">
        <v>0</v>
      </c>
      <c r="S24" s="2">
        <v>30</v>
      </c>
      <c r="T24" s="2" t="s">
        <v>19</v>
      </c>
      <c r="U24" s="2">
        <v>0</v>
      </c>
      <c r="W24" s="2">
        <v>30</v>
      </c>
      <c r="X24" s="2" t="s">
        <v>19</v>
      </c>
      <c r="Y24" s="7">
        <v>0</v>
      </c>
      <c r="AA24" s="2">
        <v>30</v>
      </c>
      <c r="AB24" s="2" t="s">
        <v>19</v>
      </c>
      <c r="AC24" s="4">
        <v>0</v>
      </c>
      <c r="AE24" s="2">
        <v>30</v>
      </c>
      <c r="AF24" s="2" t="s">
        <v>19</v>
      </c>
      <c r="AG24" s="4">
        <v>37867095</v>
      </c>
      <c r="AI24" s="2">
        <v>22</v>
      </c>
      <c r="AJ24" s="2" t="s">
        <v>19</v>
      </c>
      <c r="AK24" s="2">
        <v>63111825</v>
      </c>
      <c r="AM24" s="2">
        <v>22</v>
      </c>
      <c r="AN24" s="2" t="s">
        <v>19</v>
      </c>
      <c r="AO24" s="2">
        <v>63111825</v>
      </c>
      <c r="AQ24" s="2">
        <v>22</v>
      </c>
      <c r="AR24" s="2" t="s">
        <v>19</v>
      </c>
      <c r="AS24" s="2">
        <v>0</v>
      </c>
      <c r="AU24" s="2">
        <v>22</v>
      </c>
      <c r="AV24" s="2" t="s">
        <v>19</v>
      </c>
      <c r="AW24" s="2">
        <v>65009925</v>
      </c>
      <c r="AY24" s="2">
        <v>22</v>
      </c>
      <c r="AZ24" s="2" t="s">
        <v>19</v>
      </c>
      <c r="BA24" s="2">
        <v>65009925</v>
      </c>
    </row>
    <row r="25" spans="2:53" x14ac:dyDescent="0.25">
      <c r="B25" s="2" t="s">
        <v>20</v>
      </c>
      <c r="C25" s="2">
        <f t="shared" si="0"/>
        <v>568038060</v>
      </c>
      <c r="D25" s="2">
        <f>SUM(C24:C25)</f>
        <v>862148655</v>
      </c>
      <c r="E25" s="1">
        <f>D25/D$49*100</f>
        <v>1.1411645313031298</v>
      </c>
      <c r="G25" s="2">
        <v>31</v>
      </c>
      <c r="H25" s="6" t="s">
        <v>20</v>
      </c>
      <c r="I25" s="6">
        <v>0</v>
      </c>
      <c r="J25" s="6"/>
      <c r="K25" s="6">
        <v>31</v>
      </c>
      <c r="L25" s="6" t="s">
        <v>20</v>
      </c>
      <c r="M25" s="6">
        <v>0</v>
      </c>
      <c r="N25" s="3"/>
      <c r="O25" s="2">
        <v>31</v>
      </c>
      <c r="P25" s="2" t="s">
        <v>20</v>
      </c>
      <c r="Q25" s="2">
        <v>0</v>
      </c>
      <c r="S25" s="2">
        <v>31</v>
      </c>
      <c r="T25" s="2" t="s">
        <v>20</v>
      </c>
      <c r="U25" s="2">
        <v>0</v>
      </c>
      <c r="W25" s="2">
        <v>31</v>
      </c>
      <c r="X25" s="2" t="s">
        <v>20</v>
      </c>
      <c r="Y25" s="7">
        <v>0</v>
      </c>
      <c r="AA25" s="2">
        <v>31</v>
      </c>
      <c r="AB25" s="2" t="s">
        <v>20</v>
      </c>
      <c r="AC25" s="4">
        <v>0</v>
      </c>
      <c r="AE25" s="2">
        <v>31</v>
      </c>
      <c r="AF25" s="2" t="s">
        <v>20</v>
      </c>
      <c r="AG25" s="4">
        <v>44320635</v>
      </c>
      <c r="AI25" s="2">
        <v>23</v>
      </c>
      <c r="AJ25" s="2" t="s">
        <v>20</v>
      </c>
      <c r="AK25" s="2">
        <v>73867725</v>
      </c>
      <c r="AM25" s="2">
        <v>23</v>
      </c>
      <c r="AN25" s="2" t="s">
        <v>20</v>
      </c>
      <c r="AO25" s="2">
        <v>221603175</v>
      </c>
      <c r="AQ25" s="2">
        <v>23</v>
      </c>
      <c r="AR25" s="2" t="s">
        <v>20</v>
      </c>
      <c r="AS25" s="2">
        <v>0</v>
      </c>
      <c r="AU25" s="2">
        <v>23</v>
      </c>
      <c r="AV25" s="2" t="s">
        <v>20</v>
      </c>
      <c r="AW25" s="4">
        <v>76082175</v>
      </c>
      <c r="AY25" s="2">
        <v>23</v>
      </c>
      <c r="AZ25" s="2" t="s">
        <v>20</v>
      </c>
      <c r="BA25" s="2">
        <v>152164350</v>
      </c>
    </row>
    <row r="26" spans="2:53" x14ac:dyDescent="0.25">
      <c r="C26" s="2">
        <f t="shared" si="0"/>
        <v>0</v>
      </c>
      <c r="H26" s="6"/>
      <c r="I26" s="6"/>
      <c r="J26" s="6"/>
      <c r="K26" s="6"/>
      <c r="L26" s="6"/>
      <c r="M26" s="6"/>
      <c r="N26" s="3"/>
      <c r="Y26" s="8"/>
      <c r="AA26" s="2" t="s">
        <v>39</v>
      </c>
      <c r="AE26" s="2" t="s">
        <v>39</v>
      </c>
    </row>
    <row r="27" spans="2:53" x14ac:dyDescent="0.25">
      <c r="B27" s="2" t="s">
        <v>21</v>
      </c>
      <c r="C27" s="2">
        <f t="shared" si="0"/>
        <v>61288650</v>
      </c>
      <c r="D27" s="2">
        <f>C27</f>
        <v>61288650</v>
      </c>
      <c r="E27" s="1">
        <f>D27/D$49*100</f>
        <v>8.112340388845303E-2</v>
      </c>
      <c r="G27" s="2">
        <v>1</v>
      </c>
      <c r="H27" s="6" t="s">
        <v>21</v>
      </c>
      <c r="I27" s="6">
        <v>0</v>
      </c>
      <c r="J27" s="6"/>
      <c r="K27" s="6">
        <v>1</v>
      </c>
      <c r="L27" s="6" t="s">
        <v>21</v>
      </c>
      <c r="M27" s="6">
        <v>0</v>
      </c>
      <c r="N27" s="3"/>
      <c r="O27" s="2">
        <v>1</v>
      </c>
      <c r="P27" s="2" t="s">
        <v>21</v>
      </c>
      <c r="Q27" s="2">
        <v>7148400</v>
      </c>
      <c r="S27" s="2">
        <v>1</v>
      </c>
      <c r="T27" s="2" t="s">
        <v>21</v>
      </c>
      <c r="U27" s="2">
        <v>0</v>
      </c>
      <c r="W27" s="2">
        <v>1</v>
      </c>
      <c r="X27" s="2" t="s">
        <v>21</v>
      </c>
      <c r="Y27" s="9">
        <v>0</v>
      </c>
      <c r="AA27" s="2">
        <v>1</v>
      </c>
      <c r="AB27" s="2" t="s">
        <v>21</v>
      </c>
      <c r="AC27" s="4">
        <v>0</v>
      </c>
      <c r="AE27" s="2">
        <v>1</v>
      </c>
      <c r="AF27" s="2" t="s">
        <v>21</v>
      </c>
      <c r="AG27" s="4">
        <v>0</v>
      </c>
      <c r="AI27" s="2">
        <v>1</v>
      </c>
      <c r="AJ27" s="2" t="s">
        <v>21</v>
      </c>
      <c r="AK27" s="2">
        <v>0</v>
      </c>
      <c r="AM27" s="2">
        <v>1</v>
      </c>
      <c r="AN27" s="2" t="s">
        <v>21</v>
      </c>
      <c r="AO27" s="2">
        <v>35742000</v>
      </c>
      <c r="AQ27" s="2">
        <v>1</v>
      </c>
      <c r="AR27" s="2" t="s">
        <v>21</v>
      </c>
      <c r="AS27" s="2">
        <v>0</v>
      </c>
      <c r="AU27" s="2">
        <v>1</v>
      </c>
      <c r="AV27" s="2" t="s">
        <v>21</v>
      </c>
      <c r="AW27" s="2">
        <v>18398250</v>
      </c>
      <c r="AY27" s="2">
        <v>1</v>
      </c>
      <c r="AZ27" s="2" t="s">
        <v>21</v>
      </c>
    </row>
    <row r="28" spans="2:53" x14ac:dyDescent="0.25">
      <c r="B28" s="2" t="s">
        <v>22</v>
      </c>
      <c r="C28" s="2">
        <f t="shared" si="0"/>
        <v>375493464</v>
      </c>
      <c r="G28" s="2">
        <v>2</v>
      </c>
      <c r="H28" s="6" t="s">
        <v>22</v>
      </c>
      <c r="I28" s="6">
        <v>0</v>
      </c>
      <c r="J28" s="6"/>
      <c r="K28" s="6">
        <v>2</v>
      </c>
      <c r="L28" s="6" t="s">
        <v>22</v>
      </c>
      <c r="M28" s="6">
        <v>159612228</v>
      </c>
      <c r="N28" s="3"/>
      <c r="O28" s="2">
        <v>2</v>
      </c>
      <c r="P28" s="2" t="s">
        <v>22</v>
      </c>
      <c r="Q28" s="2">
        <v>75444480</v>
      </c>
      <c r="S28" s="2">
        <v>2</v>
      </c>
      <c r="T28" s="2" t="s">
        <v>22</v>
      </c>
      <c r="U28" s="2">
        <v>38115180</v>
      </c>
      <c r="W28" s="2">
        <v>2</v>
      </c>
      <c r="X28" s="2" t="s">
        <v>22</v>
      </c>
      <c r="Y28" s="9">
        <v>7858800</v>
      </c>
      <c r="AA28" s="2">
        <v>2</v>
      </c>
      <c r="AB28" s="2" t="s">
        <v>22</v>
      </c>
      <c r="AC28" s="4">
        <v>0</v>
      </c>
      <c r="AE28" s="2">
        <v>2</v>
      </c>
      <c r="AF28" s="2" t="s">
        <v>22</v>
      </c>
      <c r="AG28" s="4">
        <v>3929400</v>
      </c>
      <c r="AI28" s="2">
        <v>2</v>
      </c>
      <c r="AJ28" s="2" t="s">
        <v>22</v>
      </c>
      <c r="AK28" s="2">
        <v>90533376</v>
      </c>
      <c r="AM28" s="2">
        <v>2</v>
      </c>
      <c r="AN28" s="2" t="s">
        <v>22</v>
      </c>
      <c r="AO28" s="2">
        <v>0</v>
      </c>
      <c r="AQ28" s="2">
        <v>2</v>
      </c>
      <c r="AR28" s="2" t="s">
        <v>22</v>
      </c>
      <c r="AS28" s="2">
        <v>0</v>
      </c>
      <c r="AU28" s="2">
        <v>2</v>
      </c>
      <c r="AV28" s="2" t="s">
        <v>22</v>
      </c>
      <c r="AW28" s="2">
        <v>0</v>
      </c>
      <c r="AY28" s="2">
        <v>2</v>
      </c>
      <c r="AZ28" s="2" t="s">
        <v>22</v>
      </c>
    </row>
    <row r="29" spans="2:53" x14ac:dyDescent="0.25">
      <c r="B29" s="2" t="s">
        <v>23</v>
      </c>
      <c r="C29" s="2">
        <f t="shared" si="0"/>
        <v>5290566360</v>
      </c>
      <c r="G29" s="2">
        <v>3</v>
      </c>
      <c r="H29" s="6" t="s">
        <v>23</v>
      </c>
      <c r="I29" s="6">
        <v>231874560</v>
      </c>
      <c r="J29" s="6"/>
      <c r="K29" s="6">
        <v>3</v>
      </c>
      <c r="L29" s="6" t="s">
        <v>23</v>
      </c>
      <c r="M29" s="6">
        <v>467372160</v>
      </c>
      <c r="N29" s="3"/>
      <c r="O29" s="2">
        <v>3</v>
      </c>
      <c r="P29" s="2" t="s">
        <v>23</v>
      </c>
      <c r="Q29" s="2">
        <v>351434880</v>
      </c>
      <c r="S29" s="2">
        <v>3</v>
      </c>
      <c r="T29" s="2" t="s">
        <v>23</v>
      </c>
      <c r="U29" s="4">
        <v>234289920</v>
      </c>
      <c r="W29" s="2">
        <v>3</v>
      </c>
      <c r="X29" s="2" t="s">
        <v>23</v>
      </c>
      <c r="Y29" s="9">
        <v>126806400</v>
      </c>
      <c r="AA29" s="2">
        <v>3</v>
      </c>
      <c r="AB29" s="2" t="s">
        <v>23</v>
      </c>
      <c r="AC29" s="4">
        <v>0</v>
      </c>
      <c r="AE29" s="2">
        <v>3</v>
      </c>
      <c r="AF29" s="2" t="s">
        <v>23</v>
      </c>
      <c r="AG29" s="4">
        <v>817599360</v>
      </c>
      <c r="AI29" s="2">
        <v>3</v>
      </c>
      <c r="AJ29" s="2" t="s">
        <v>23</v>
      </c>
      <c r="AK29" s="2">
        <v>937159680</v>
      </c>
      <c r="AM29" s="2">
        <v>3</v>
      </c>
      <c r="AN29" s="2" t="s">
        <v>23</v>
      </c>
      <c r="AO29" s="2">
        <v>1641237120</v>
      </c>
      <c r="AQ29" s="2">
        <v>3</v>
      </c>
      <c r="AR29" s="2" t="s">
        <v>23</v>
      </c>
      <c r="AS29" s="2">
        <v>0</v>
      </c>
      <c r="AU29" s="2">
        <v>3</v>
      </c>
      <c r="AV29" s="2" t="s">
        <v>23</v>
      </c>
      <c r="AW29" s="2">
        <v>241396140</v>
      </c>
      <c r="AY29" s="2">
        <v>3</v>
      </c>
      <c r="AZ29" s="2" t="s">
        <v>23</v>
      </c>
      <c r="BA29" s="2">
        <v>241396140</v>
      </c>
    </row>
    <row r="30" spans="2:53" x14ac:dyDescent="0.25">
      <c r="B30" s="2" t="s">
        <v>63</v>
      </c>
      <c r="C30" s="2">
        <f t="shared" si="0"/>
        <v>825071880</v>
      </c>
      <c r="D30" s="2">
        <f>SUM(C28:C30)</f>
        <v>6491131704</v>
      </c>
      <c r="E30" s="1">
        <f>D30/D$49*100</f>
        <v>8.5918469229903796</v>
      </c>
      <c r="G30" s="2">
        <v>4</v>
      </c>
      <c r="H30" s="6" t="s">
        <v>24</v>
      </c>
      <c r="I30" s="6">
        <v>137036160</v>
      </c>
      <c r="J30" s="6"/>
      <c r="K30" s="6">
        <v>4</v>
      </c>
      <c r="L30" s="6" t="s">
        <v>24</v>
      </c>
      <c r="M30" s="6">
        <v>0</v>
      </c>
      <c r="N30" s="3"/>
      <c r="O30" s="2">
        <v>4</v>
      </c>
      <c r="P30" s="2" t="s">
        <v>24</v>
      </c>
      <c r="Q30" s="2">
        <v>0</v>
      </c>
      <c r="S30" s="2">
        <v>4</v>
      </c>
      <c r="T30" s="2" t="s">
        <v>24</v>
      </c>
      <c r="U30" s="4">
        <v>0</v>
      </c>
      <c r="W30" s="2">
        <v>4</v>
      </c>
      <c r="X30" s="2" t="s">
        <v>24</v>
      </c>
      <c r="Y30" s="9">
        <v>0</v>
      </c>
      <c r="AA30" s="2">
        <v>4</v>
      </c>
      <c r="AB30" s="2" t="s">
        <v>24</v>
      </c>
      <c r="AC30" s="4">
        <v>0</v>
      </c>
      <c r="AE30" s="2">
        <v>4</v>
      </c>
      <c r="AF30" s="2" t="s">
        <v>24</v>
      </c>
      <c r="AG30" s="4">
        <v>206981700</v>
      </c>
      <c r="AI30" s="2">
        <v>4</v>
      </c>
      <c r="AJ30" s="2" t="s">
        <v>24</v>
      </c>
      <c r="AK30" s="2">
        <v>205554240</v>
      </c>
      <c r="AM30" s="2">
        <v>4</v>
      </c>
      <c r="AN30" s="2" t="s">
        <v>24</v>
      </c>
      <c r="AO30" s="2">
        <v>275499780</v>
      </c>
      <c r="AQ30" s="2">
        <v>4</v>
      </c>
      <c r="AR30" s="2" t="s">
        <v>24</v>
      </c>
      <c r="AS30" s="2">
        <v>0</v>
      </c>
      <c r="AU30" s="2">
        <v>4</v>
      </c>
      <c r="AV30" s="2" t="s">
        <v>24</v>
      </c>
      <c r="AW30" s="2">
        <v>0</v>
      </c>
      <c r="AY30" s="2">
        <v>4</v>
      </c>
      <c r="AZ30" s="2" t="s">
        <v>24</v>
      </c>
    </row>
    <row r="31" spans="2:53" x14ac:dyDescent="0.25">
      <c r="C31" s="2">
        <f t="shared" si="0"/>
        <v>0</v>
      </c>
      <c r="H31" s="6"/>
      <c r="I31" s="6"/>
      <c r="J31" s="6"/>
      <c r="K31" s="6"/>
      <c r="L31" s="6"/>
      <c r="M31" s="6"/>
      <c r="N31" s="3"/>
      <c r="Y31" s="8"/>
    </row>
    <row r="32" spans="2:53" x14ac:dyDescent="0.25">
      <c r="B32" s="2" t="s">
        <v>25</v>
      </c>
      <c r="C32" s="2">
        <f t="shared" si="0"/>
        <v>325049625</v>
      </c>
      <c r="G32" s="2">
        <v>5</v>
      </c>
      <c r="H32" s="6" t="s">
        <v>25</v>
      </c>
      <c r="I32" s="6">
        <v>0</v>
      </c>
      <c r="J32" s="6"/>
      <c r="K32" s="6">
        <v>5</v>
      </c>
      <c r="L32" s="6" t="s">
        <v>25</v>
      </c>
      <c r="M32" s="6">
        <v>0</v>
      </c>
      <c r="N32" s="3"/>
      <c r="O32" s="2">
        <v>5</v>
      </c>
      <c r="P32" s="2" t="s">
        <v>25</v>
      </c>
      <c r="Q32" s="2">
        <v>108349875</v>
      </c>
      <c r="S32" s="2">
        <v>5</v>
      </c>
      <c r="T32" s="2" t="s">
        <v>25</v>
      </c>
      <c r="U32" s="2">
        <v>0</v>
      </c>
      <c r="W32" s="2">
        <v>5</v>
      </c>
      <c r="X32" s="2" t="s">
        <v>25</v>
      </c>
      <c r="Y32" s="9">
        <v>0</v>
      </c>
      <c r="AA32" s="2">
        <v>5</v>
      </c>
      <c r="AB32" s="2" t="s">
        <v>25</v>
      </c>
      <c r="AC32" s="4">
        <v>21669975</v>
      </c>
      <c r="AE32" s="2">
        <v>5</v>
      </c>
      <c r="AF32" s="2" t="s">
        <v>25</v>
      </c>
      <c r="AG32" s="4">
        <v>86679900</v>
      </c>
      <c r="AI32" s="2">
        <v>5</v>
      </c>
      <c r="AJ32" s="2" t="s">
        <v>25</v>
      </c>
      <c r="AK32" s="2">
        <v>108349875</v>
      </c>
      <c r="AM32" s="2">
        <v>5</v>
      </c>
      <c r="AN32" s="2" t="s">
        <v>25</v>
      </c>
      <c r="AO32" s="2">
        <v>0</v>
      </c>
      <c r="AQ32" s="2">
        <v>5</v>
      </c>
      <c r="AR32" s="2" t="s">
        <v>25</v>
      </c>
      <c r="AS32" s="2">
        <v>0</v>
      </c>
      <c r="AU32" s="2">
        <v>5</v>
      </c>
      <c r="AV32" s="2" t="s">
        <v>25</v>
      </c>
      <c r="AY32" s="2">
        <v>5</v>
      </c>
      <c r="AZ32" s="2" t="s">
        <v>25</v>
      </c>
    </row>
    <row r="33" spans="2:53" x14ac:dyDescent="0.25">
      <c r="B33" s="2" t="s">
        <v>26</v>
      </c>
      <c r="C33" s="2">
        <f t="shared" si="0"/>
        <v>122680530</v>
      </c>
      <c r="G33" s="2">
        <v>6</v>
      </c>
      <c r="H33" s="6" t="s">
        <v>26</v>
      </c>
      <c r="I33" s="6">
        <v>0</v>
      </c>
      <c r="J33" s="6"/>
      <c r="K33" s="6">
        <v>6</v>
      </c>
      <c r="L33" s="6" t="s">
        <v>26</v>
      </c>
      <c r="M33" s="6">
        <v>0</v>
      </c>
      <c r="N33" s="3"/>
      <c r="O33" s="2">
        <v>6</v>
      </c>
      <c r="P33" s="2" t="s">
        <v>26</v>
      </c>
      <c r="Q33" s="2">
        <v>0</v>
      </c>
      <c r="S33" s="2">
        <v>6</v>
      </c>
      <c r="T33" s="2" t="s">
        <v>26</v>
      </c>
      <c r="U33" s="2">
        <v>0</v>
      </c>
      <c r="W33" s="2">
        <v>6</v>
      </c>
      <c r="X33" s="2" t="s">
        <v>26</v>
      </c>
      <c r="Y33" s="9">
        <v>0</v>
      </c>
      <c r="AA33" s="2">
        <v>6</v>
      </c>
      <c r="AB33" s="2" t="s">
        <v>26</v>
      </c>
      <c r="AC33" s="4">
        <v>0</v>
      </c>
      <c r="AE33" s="2">
        <v>6</v>
      </c>
      <c r="AF33" s="2" t="s">
        <v>26</v>
      </c>
      <c r="AG33" s="4">
        <v>81787020</v>
      </c>
      <c r="AI33" s="2">
        <v>6</v>
      </c>
      <c r="AJ33" s="2" t="s">
        <v>26</v>
      </c>
      <c r="AK33" s="2">
        <v>40893510</v>
      </c>
      <c r="AM33" s="2">
        <v>6</v>
      </c>
      <c r="AN33" s="2" t="s">
        <v>26</v>
      </c>
      <c r="AO33" s="2">
        <v>0</v>
      </c>
      <c r="AQ33" s="2">
        <v>6</v>
      </c>
      <c r="AR33" s="2" t="s">
        <v>26</v>
      </c>
      <c r="AS33" s="2">
        <v>0</v>
      </c>
      <c r="AU33" s="2">
        <v>6</v>
      </c>
      <c r="AV33" s="2" t="s">
        <v>26</v>
      </c>
      <c r="AY33" s="2">
        <v>6</v>
      </c>
      <c r="AZ33" s="2" t="s">
        <v>26</v>
      </c>
    </row>
    <row r="34" spans="2:53" x14ac:dyDescent="0.25">
      <c r="B34" s="2" t="s">
        <v>27</v>
      </c>
      <c r="C34" s="2">
        <f t="shared" si="0"/>
        <v>0</v>
      </c>
      <c r="D34" s="2">
        <f>SUM(C32:C34)</f>
        <v>447730155</v>
      </c>
      <c r="E34" s="1">
        <f>D34/D$49*100</f>
        <v>0.59262839362760777</v>
      </c>
      <c r="G34" s="2">
        <v>7</v>
      </c>
      <c r="H34" s="6" t="s">
        <v>27</v>
      </c>
      <c r="I34" s="6">
        <v>0</v>
      </c>
      <c r="J34" s="6"/>
      <c r="K34" s="6">
        <v>7</v>
      </c>
      <c r="L34" s="6" t="s">
        <v>27</v>
      </c>
      <c r="M34" s="6">
        <v>0</v>
      </c>
      <c r="N34" s="3"/>
      <c r="O34" s="2">
        <v>7</v>
      </c>
      <c r="P34" s="2" t="s">
        <v>27</v>
      </c>
      <c r="Q34" s="2">
        <v>0</v>
      </c>
      <c r="S34" s="2">
        <v>7</v>
      </c>
      <c r="T34" s="2" t="s">
        <v>27</v>
      </c>
      <c r="U34" s="2">
        <v>0</v>
      </c>
      <c r="W34" s="2">
        <v>7</v>
      </c>
      <c r="X34" s="2" t="s">
        <v>27</v>
      </c>
      <c r="Y34" s="9">
        <v>0</v>
      </c>
      <c r="AA34" s="2">
        <v>7</v>
      </c>
      <c r="AB34" s="2" t="s">
        <v>27</v>
      </c>
      <c r="AC34" s="4">
        <v>0</v>
      </c>
      <c r="AE34" s="2">
        <v>7</v>
      </c>
      <c r="AF34" s="2" t="s">
        <v>27</v>
      </c>
      <c r="AG34" s="4">
        <v>0</v>
      </c>
      <c r="AI34" s="2">
        <v>7</v>
      </c>
      <c r="AJ34" s="2" t="s">
        <v>27</v>
      </c>
      <c r="AM34" s="2">
        <v>7</v>
      </c>
      <c r="AN34" s="2" t="s">
        <v>27</v>
      </c>
      <c r="AO34" s="2">
        <v>0</v>
      </c>
      <c r="AQ34" s="2">
        <v>7</v>
      </c>
      <c r="AR34" s="2" t="s">
        <v>27</v>
      </c>
      <c r="AS34" s="2">
        <v>0</v>
      </c>
      <c r="AU34" s="2">
        <v>7</v>
      </c>
      <c r="AV34" s="2" t="s">
        <v>27</v>
      </c>
      <c r="AY34" s="2">
        <v>7</v>
      </c>
      <c r="AZ34" s="2" t="s">
        <v>27</v>
      </c>
    </row>
    <row r="35" spans="2:53" x14ac:dyDescent="0.25">
      <c r="B35" s="2" t="s">
        <v>28</v>
      </c>
      <c r="C35" s="2">
        <f t="shared" si="0"/>
        <v>859944750</v>
      </c>
      <c r="G35" s="2">
        <v>8</v>
      </c>
      <c r="H35" s="6" t="s">
        <v>28</v>
      </c>
      <c r="I35" s="6">
        <v>0</v>
      </c>
      <c r="J35" s="6"/>
      <c r="K35" s="6">
        <v>8</v>
      </c>
      <c r="L35" s="6" t="s">
        <v>28</v>
      </c>
      <c r="M35" s="6">
        <v>0</v>
      </c>
      <c r="N35" s="3"/>
      <c r="O35" s="2">
        <v>8</v>
      </c>
      <c r="P35" s="2" t="s">
        <v>28</v>
      </c>
      <c r="Q35" s="2">
        <v>0</v>
      </c>
      <c r="S35" s="2">
        <v>8</v>
      </c>
      <c r="T35" s="2" t="s">
        <v>28</v>
      </c>
      <c r="U35" s="2">
        <v>171988950</v>
      </c>
      <c r="W35" s="2">
        <v>8</v>
      </c>
      <c r="X35" s="2" t="s">
        <v>28</v>
      </c>
      <c r="Y35" s="9">
        <v>0</v>
      </c>
      <c r="AA35" s="2">
        <v>8</v>
      </c>
      <c r="AB35" s="2" t="s">
        <v>28</v>
      </c>
      <c r="AC35" s="4">
        <v>343977900</v>
      </c>
      <c r="AE35" s="2">
        <v>8</v>
      </c>
      <c r="AF35" s="2" t="s">
        <v>28</v>
      </c>
      <c r="AG35" s="4">
        <v>171988950</v>
      </c>
      <c r="AI35" s="2">
        <v>8</v>
      </c>
      <c r="AJ35" s="2" t="s">
        <v>28</v>
      </c>
      <c r="AM35" s="2">
        <v>8</v>
      </c>
      <c r="AN35" s="2" t="s">
        <v>28</v>
      </c>
      <c r="AO35" s="2">
        <v>171988950</v>
      </c>
      <c r="AQ35" s="2">
        <v>8</v>
      </c>
      <c r="AR35" s="2" t="s">
        <v>28</v>
      </c>
      <c r="AS35" s="2">
        <v>0</v>
      </c>
      <c r="AU35" s="2">
        <v>8</v>
      </c>
      <c r="AV35" s="2" t="s">
        <v>28</v>
      </c>
      <c r="AW35" s="4"/>
      <c r="AY35" s="2">
        <v>8</v>
      </c>
      <c r="AZ35" s="2" t="s">
        <v>28</v>
      </c>
    </row>
    <row r="36" spans="2:53" x14ac:dyDescent="0.25">
      <c r="B36" s="2" t="s">
        <v>29</v>
      </c>
      <c r="C36" s="2">
        <f t="shared" si="0"/>
        <v>76904685</v>
      </c>
      <c r="G36" s="2">
        <v>9</v>
      </c>
      <c r="H36" s="6" t="s">
        <v>29</v>
      </c>
      <c r="I36" s="6">
        <v>0</v>
      </c>
      <c r="J36" s="6"/>
      <c r="K36" s="6">
        <v>9</v>
      </c>
      <c r="L36" s="6" t="s">
        <v>29</v>
      </c>
      <c r="M36" s="6">
        <v>0</v>
      </c>
      <c r="N36" s="3"/>
      <c r="O36" s="2">
        <v>9</v>
      </c>
      <c r="P36" s="2" t="s">
        <v>29</v>
      </c>
      <c r="Q36" s="2">
        <v>0</v>
      </c>
      <c r="S36" s="2">
        <v>9</v>
      </c>
      <c r="T36" s="2" t="s">
        <v>29</v>
      </c>
      <c r="U36" s="2">
        <v>0</v>
      </c>
      <c r="W36" s="2">
        <v>9</v>
      </c>
      <c r="X36" s="2" t="s">
        <v>29</v>
      </c>
      <c r="Y36" s="9">
        <v>0</v>
      </c>
      <c r="AA36" s="2">
        <v>9</v>
      </c>
      <c r="AB36" s="2" t="s">
        <v>29</v>
      </c>
      <c r="AC36" s="4">
        <v>0</v>
      </c>
      <c r="AE36" s="2">
        <v>9</v>
      </c>
      <c r="AF36" s="2" t="s">
        <v>29</v>
      </c>
      <c r="AG36" s="4">
        <v>0</v>
      </c>
      <c r="AI36" s="2">
        <v>9</v>
      </c>
      <c r="AJ36" s="2" t="s">
        <v>29</v>
      </c>
      <c r="AM36" s="2">
        <v>9</v>
      </c>
      <c r="AN36" s="2" t="s">
        <v>29</v>
      </c>
      <c r="AO36" s="2">
        <v>76904685</v>
      </c>
      <c r="AQ36" s="2">
        <v>9</v>
      </c>
      <c r="AR36" s="2" t="s">
        <v>29</v>
      </c>
      <c r="AS36" s="2">
        <v>0</v>
      </c>
      <c r="AU36" s="2">
        <v>9</v>
      </c>
      <c r="AV36" s="2" t="s">
        <v>29</v>
      </c>
      <c r="AY36" s="2">
        <v>9</v>
      </c>
      <c r="AZ36" s="2" t="s">
        <v>29</v>
      </c>
    </row>
    <row r="37" spans="2:53" x14ac:dyDescent="0.25">
      <c r="B37" s="2" t="s">
        <v>30</v>
      </c>
      <c r="C37" s="2">
        <f t="shared" si="0"/>
        <v>0</v>
      </c>
      <c r="D37" s="2">
        <f>SUM(C35:C37)</f>
        <v>936849435</v>
      </c>
      <c r="E37" s="1">
        <f>D37/D$49*100</f>
        <v>1.2400406127100865</v>
      </c>
      <c r="G37" s="2">
        <v>10</v>
      </c>
      <c r="H37" s="6" t="s">
        <v>30</v>
      </c>
      <c r="I37" s="6">
        <v>0</v>
      </c>
      <c r="J37" s="6"/>
      <c r="K37" s="6">
        <v>10</v>
      </c>
      <c r="L37" s="6" t="s">
        <v>30</v>
      </c>
      <c r="M37" s="6">
        <v>0</v>
      </c>
      <c r="N37" s="3"/>
      <c r="O37" s="2">
        <v>10</v>
      </c>
      <c r="P37" s="2" t="s">
        <v>30</v>
      </c>
      <c r="Q37" s="2">
        <v>0</v>
      </c>
      <c r="S37" s="2">
        <v>10</v>
      </c>
      <c r="T37" s="2" t="s">
        <v>30</v>
      </c>
      <c r="U37" s="2">
        <v>0</v>
      </c>
      <c r="W37" s="2">
        <v>10</v>
      </c>
      <c r="X37" s="2" t="s">
        <v>30</v>
      </c>
      <c r="Y37" s="9">
        <v>0</v>
      </c>
      <c r="AA37" s="2">
        <v>10</v>
      </c>
      <c r="AB37" s="2" t="s">
        <v>30</v>
      </c>
      <c r="AC37" s="4">
        <v>0</v>
      </c>
      <c r="AE37" s="2">
        <v>10</v>
      </c>
      <c r="AF37" s="2" t="s">
        <v>30</v>
      </c>
      <c r="AG37" s="4">
        <v>0</v>
      </c>
      <c r="AI37" s="2">
        <v>10</v>
      </c>
      <c r="AJ37" s="2" t="s">
        <v>30</v>
      </c>
      <c r="AM37" s="2">
        <v>10</v>
      </c>
      <c r="AN37" s="2" t="s">
        <v>30</v>
      </c>
      <c r="AO37" s="2">
        <v>0</v>
      </c>
      <c r="AQ37" s="2">
        <v>10</v>
      </c>
      <c r="AR37" s="2" t="s">
        <v>30</v>
      </c>
      <c r="AS37" s="2">
        <v>0</v>
      </c>
      <c r="AU37" s="2">
        <v>10</v>
      </c>
      <c r="AV37" s="2" t="s">
        <v>30</v>
      </c>
      <c r="AY37" s="2">
        <v>10</v>
      </c>
      <c r="AZ37" s="2" t="s">
        <v>30</v>
      </c>
    </row>
    <row r="38" spans="2:53" x14ac:dyDescent="0.25">
      <c r="C38" s="2">
        <f t="shared" si="0"/>
        <v>0</v>
      </c>
      <c r="H38" s="6"/>
      <c r="I38" s="6"/>
      <c r="J38" s="6"/>
      <c r="K38" s="6"/>
      <c r="L38" s="6"/>
      <c r="M38" s="6"/>
      <c r="N38" s="3"/>
      <c r="Y38" s="8"/>
    </row>
    <row r="39" spans="2:53" x14ac:dyDescent="0.25">
      <c r="B39" s="2" t="s">
        <v>31</v>
      </c>
      <c r="C39" s="2">
        <f t="shared" si="0"/>
        <v>0</v>
      </c>
      <c r="G39" s="2">
        <v>12</v>
      </c>
      <c r="H39" s="6" t="s">
        <v>31</v>
      </c>
      <c r="I39" s="6">
        <v>0</v>
      </c>
      <c r="J39" s="6"/>
      <c r="K39" s="6">
        <v>12</v>
      </c>
      <c r="L39" s="6" t="s">
        <v>31</v>
      </c>
      <c r="M39" s="6">
        <v>0</v>
      </c>
      <c r="N39" s="3"/>
      <c r="O39" s="2">
        <v>12</v>
      </c>
      <c r="P39" s="2" t="s">
        <v>31</v>
      </c>
      <c r="Q39" s="2">
        <v>0</v>
      </c>
      <c r="S39" s="2">
        <v>12</v>
      </c>
      <c r="T39" s="2" t="s">
        <v>31</v>
      </c>
      <c r="U39" s="2">
        <v>0</v>
      </c>
      <c r="W39" s="2">
        <v>12</v>
      </c>
      <c r="X39" s="2" t="s">
        <v>31</v>
      </c>
      <c r="Y39" s="9">
        <v>0</v>
      </c>
      <c r="AA39" s="2">
        <v>12</v>
      </c>
      <c r="AB39" s="2" t="s">
        <v>31</v>
      </c>
      <c r="AC39" s="4">
        <v>0</v>
      </c>
      <c r="AE39" s="2">
        <v>12</v>
      </c>
      <c r="AF39" s="2" t="s">
        <v>31</v>
      </c>
      <c r="AG39" s="4">
        <v>0</v>
      </c>
      <c r="AI39" s="2">
        <v>11</v>
      </c>
      <c r="AJ39" s="2" t="s">
        <v>31</v>
      </c>
      <c r="AM39" s="2">
        <v>11</v>
      </c>
      <c r="AN39" s="2" t="s">
        <v>31</v>
      </c>
      <c r="AO39" s="2">
        <v>0</v>
      </c>
      <c r="AQ39" s="2">
        <v>11</v>
      </c>
      <c r="AR39" s="2" t="s">
        <v>31</v>
      </c>
      <c r="AS39" s="2">
        <v>0</v>
      </c>
      <c r="AU39" s="2">
        <v>11</v>
      </c>
      <c r="AV39" s="2" t="s">
        <v>31</v>
      </c>
      <c r="AW39" s="2">
        <v>0</v>
      </c>
      <c r="AY39" s="2">
        <v>11</v>
      </c>
      <c r="AZ39" s="2" t="s">
        <v>31</v>
      </c>
    </row>
    <row r="40" spans="2:53" x14ac:dyDescent="0.25">
      <c r="B40" s="2" t="s">
        <v>32</v>
      </c>
      <c r="C40" s="2">
        <f t="shared" si="0"/>
        <v>31067568</v>
      </c>
      <c r="G40" s="2">
        <v>13</v>
      </c>
      <c r="H40" s="6" t="s">
        <v>32</v>
      </c>
      <c r="I40" s="6">
        <v>15533784</v>
      </c>
      <c r="J40" s="6"/>
      <c r="K40" s="6">
        <v>13</v>
      </c>
      <c r="L40" s="6" t="s">
        <v>32</v>
      </c>
      <c r="M40" s="6">
        <v>0</v>
      </c>
      <c r="N40" s="3"/>
      <c r="O40" s="2">
        <v>13</v>
      </c>
      <c r="P40" s="2" t="s">
        <v>32</v>
      </c>
      <c r="Q40" s="2">
        <v>15533784</v>
      </c>
      <c r="S40" s="2">
        <v>13</v>
      </c>
      <c r="T40" s="2" t="s">
        <v>32</v>
      </c>
      <c r="U40" s="2">
        <v>0</v>
      </c>
      <c r="W40" s="2">
        <v>13</v>
      </c>
      <c r="X40" s="2" t="s">
        <v>32</v>
      </c>
      <c r="Y40" s="9">
        <v>0</v>
      </c>
      <c r="AA40" s="2">
        <v>13</v>
      </c>
      <c r="AB40" s="2" t="s">
        <v>32</v>
      </c>
      <c r="AC40" s="4">
        <v>0</v>
      </c>
      <c r="AE40" s="2">
        <v>13</v>
      </c>
      <c r="AF40" s="2" t="s">
        <v>32</v>
      </c>
      <c r="AG40" s="4">
        <v>0</v>
      </c>
      <c r="AI40" s="2">
        <v>12</v>
      </c>
      <c r="AJ40" s="2" t="s">
        <v>32</v>
      </c>
      <c r="AM40" s="2">
        <v>12</v>
      </c>
      <c r="AN40" s="2" t="s">
        <v>32</v>
      </c>
      <c r="AO40" s="2">
        <v>0</v>
      </c>
      <c r="AQ40" s="2">
        <v>12</v>
      </c>
      <c r="AR40" s="2" t="s">
        <v>32</v>
      </c>
      <c r="AS40" s="2">
        <v>0</v>
      </c>
      <c r="AU40" s="2">
        <v>12</v>
      </c>
      <c r="AV40" s="2" t="s">
        <v>32</v>
      </c>
      <c r="AW40" s="2">
        <v>0</v>
      </c>
      <c r="AY40" s="2">
        <v>12</v>
      </c>
      <c r="AZ40" s="2" t="s">
        <v>32</v>
      </c>
    </row>
    <row r="41" spans="2:53" x14ac:dyDescent="0.25">
      <c r="B41" s="2" t="s">
        <v>33</v>
      </c>
      <c r="C41" s="2">
        <f t="shared" si="0"/>
        <v>894302536</v>
      </c>
      <c r="G41" s="2">
        <v>14</v>
      </c>
      <c r="H41" s="6" t="s">
        <v>33</v>
      </c>
      <c r="I41" s="6">
        <v>0</v>
      </c>
      <c r="J41" s="6"/>
      <c r="K41" s="6">
        <v>14</v>
      </c>
      <c r="L41" s="6" t="s">
        <v>33</v>
      </c>
      <c r="M41" s="6">
        <v>0</v>
      </c>
      <c r="N41" s="3"/>
      <c r="O41" s="2">
        <v>14</v>
      </c>
      <c r="P41" s="2" t="s">
        <v>33</v>
      </c>
      <c r="Q41" s="2">
        <v>20330982</v>
      </c>
      <c r="S41" s="2">
        <v>14</v>
      </c>
      <c r="T41" s="2" t="s">
        <v>33</v>
      </c>
      <c r="U41" s="2">
        <v>101654910</v>
      </c>
      <c r="W41" s="2">
        <v>14</v>
      </c>
      <c r="X41" s="2" t="s">
        <v>33</v>
      </c>
      <c r="Y41" s="9">
        <v>50827455</v>
      </c>
      <c r="AA41" s="2">
        <v>14</v>
      </c>
      <c r="AB41" s="2" t="s">
        <v>33</v>
      </c>
      <c r="AC41" s="4">
        <v>146628225</v>
      </c>
      <c r="AE41" s="2">
        <v>14</v>
      </c>
      <c r="AF41" s="2" t="s">
        <v>33</v>
      </c>
      <c r="AG41" s="4">
        <v>0</v>
      </c>
      <c r="AI41" s="2">
        <v>13</v>
      </c>
      <c r="AJ41" s="2" t="s">
        <v>33</v>
      </c>
      <c r="AM41" s="2">
        <v>13</v>
      </c>
      <c r="AN41" s="2" t="s">
        <v>33</v>
      </c>
      <c r="AO41" s="2">
        <v>203309820</v>
      </c>
      <c r="AQ41" s="2">
        <v>13</v>
      </c>
      <c r="AR41" s="2" t="s">
        <v>33</v>
      </c>
      <c r="AS41" s="2">
        <v>106767570</v>
      </c>
      <c r="AU41" s="2">
        <v>13</v>
      </c>
      <c r="AV41" s="2" t="s">
        <v>33</v>
      </c>
      <c r="AW41" s="2">
        <v>106767570</v>
      </c>
      <c r="AY41" s="2">
        <v>13</v>
      </c>
      <c r="AZ41" s="2" t="s">
        <v>33</v>
      </c>
      <c r="BA41" s="2">
        <v>158016004</v>
      </c>
    </row>
    <row r="42" spans="2:53" x14ac:dyDescent="0.25">
      <c r="B42" s="2" t="s">
        <v>34</v>
      </c>
      <c r="C42" s="2">
        <f t="shared" si="0"/>
        <v>827761410</v>
      </c>
      <c r="D42" s="2">
        <f>SUM(C39:C42)</f>
        <v>1753131514</v>
      </c>
      <c r="E42" s="1">
        <f>D42/D$49*100</f>
        <v>2.3204948368057896</v>
      </c>
      <c r="G42" s="2">
        <v>15</v>
      </c>
      <c r="H42" s="6" t="s">
        <v>34</v>
      </c>
      <c r="I42" s="6">
        <v>0</v>
      </c>
      <c r="J42" s="6"/>
      <c r="K42" s="6">
        <v>15</v>
      </c>
      <c r="L42" s="6" t="s">
        <v>34</v>
      </c>
      <c r="M42" s="6">
        <v>0</v>
      </c>
      <c r="N42" s="3"/>
      <c r="O42" s="2">
        <v>15</v>
      </c>
      <c r="P42" s="2" t="s">
        <v>34</v>
      </c>
      <c r="Q42" s="2">
        <v>0</v>
      </c>
      <c r="S42" s="2">
        <v>15</v>
      </c>
      <c r="T42" s="2" t="s">
        <v>34</v>
      </c>
      <c r="U42" s="2">
        <v>0</v>
      </c>
      <c r="W42" s="2">
        <v>15</v>
      </c>
      <c r="X42" s="2" t="s">
        <v>34</v>
      </c>
      <c r="Y42" s="9">
        <v>161783055</v>
      </c>
      <c r="AA42" s="2">
        <v>15</v>
      </c>
      <c r="AB42" s="2" t="s">
        <v>34</v>
      </c>
      <c r="AC42" s="4">
        <v>0</v>
      </c>
      <c r="AE42" s="2">
        <v>15</v>
      </c>
      <c r="AF42" s="2" t="s">
        <v>34</v>
      </c>
      <c r="AG42" s="4">
        <v>0</v>
      </c>
      <c r="AI42" s="2">
        <v>14</v>
      </c>
      <c r="AJ42" s="2" t="s">
        <v>34</v>
      </c>
      <c r="AM42" s="2">
        <v>14</v>
      </c>
      <c r="AN42" s="2" t="s">
        <v>34</v>
      </c>
      <c r="AO42" s="2">
        <v>269638425</v>
      </c>
      <c r="AQ42" s="2">
        <v>14</v>
      </c>
      <c r="AR42" s="2" t="s">
        <v>34</v>
      </c>
      <c r="AS42" s="2">
        <v>56619990</v>
      </c>
      <c r="AU42" s="2">
        <v>14</v>
      </c>
      <c r="AV42" s="2" t="s">
        <v>34</v>
      </c>
      <c r="AW42" s="2">
        <v>113239980</v>
      </c>
      <c r="AY42" s="2">
        <v>14</v>
      </c>
      <c r="AZ42" s="2" t="s">
        <v>34</v>
      </c>
      <c r="BA42" s="2">
        <v>226479960</v>
      </c>
    </row>
    <row r="43" spans="2:53" x14ac:dyDescent="0.25">
      <c r="B43" s="2" t="s">
        <v>35</v>
      </c>
      <c r="C43" s="2">
        <f t="shared" si="0"/>
        <v>134815189</v>
      </c>
      <c r="G43" s="2">
        <v>17</v>
      </c>
      <c r="H43" s="6" t="s">
        <v>35</v>
      </c>
      <c r="I43" s="6">
        <v>0</v>
      </c>
      <c r="J43" s="6"/>
      <c r="K43" s="6">
        <v>17</v>
      </c>
      <c r="L43" s="6" t="s">
        <v>35</v>
      </c>
      <c r="M43" s="6">
        <v>0</v>
      </c>
      <c r="N43" s="3"/>
      <c r="O43" s="2">
        <v>17</v>
      </c>
      <c r="P43" s="2" t="s">
        <v>35</v>
      </c>
      <c r="Q43" s="2">
        <v>0</v>
      </c>
      <c r="S43" s="2">
        <v>17</v>
      </c>
      <c r="T43" s="2" t="s">
        <v>35</v>
      </c>
      <c r="U43" s="2">
        <v>0</v>
      </c>
      <c r="W43" s="2">
        <v>17</v>
      </c>
      <c r="X43" s="2" t="s">
        <v>35</v>
      </c>
      <c r="Y43" s="9">
        <v>37708920</v>
      </c>
      <c r="AA43" s="2">
        <v>17</v>
      </c>
      <c r="AB43" s="2" t="s">
        <v>35</v>
      </c>
      <c r="AC43" s="4">
        <v>0</v>
      </c>
      <c r="AE43" s="2">
        <v>17</v>
      </c>
      <c r="AF43" s="2" t="s">
        <v>35</v>
      </c>
      <c r="AG43" s="4">
        <v>0</v>
      </c>
      <c r="AI43" s="2">
        <v>15</v>
      </c>
      <c r="AJ43" s="2" t="s">
        <v>35</v>
      </c>
      <c r="AM43" s="2">
        <v>15</v>
      </c>
      <c r="AN43" s="2" t="s">
        <v>35</v>
      </c>
      <c r="AQ43" s="2">
        <v>15</v>
      </c>
      <c r="AR43" s="2" t="s">
        <v>35</v>
      </c>
      <c r="AS43" s="2">
        <v>0</v>
      </c>
      <c r="AU43" s="2">
        <v>15</v>
      </c>
      <c r="AV43" s="2" t="s">
        <v>35</v>
      </c>
      <c r="AY43" s="2">
        <v>15</v>
      </c>
      <c r="AZ43" s="2" t="s">
        <v>35</v>
      </c>
      <c r="BA43" s="2">
        <v>97106269</v>
      </c>
    </row>
    <row r="44" spans="2:53" x14ac:dyDescent="0.25">
      <c r="B44" s="2" t="s">
        <v>36</v>
      </c>
      <c r="C44" s="2">
        <f t="shared" si="0"/>
        <v>187684128</v>
      </c>
      <c r="G44" s="2">
        <v>18</v>
      </c>
      <c r="H44" s="6" t="s">
        <v>36</v>
      </c>
      <c r="I44" s="6">
        <v>0</v>
      </c>
      <c r="J44" s="6"/>
      <c r="K44" s="6">
        <v>18</v>
      </c>
      <c r="L44" s="6" t="s">
        <v>36</v>
      </c>
      <c r="M44" s="6">
        <v>0</v>
      </c>
      <c r="N44" s="3"/>
      <c r="O44" s="2">
        <v>18</v>
      </c>
      <c r="P44" s="2" t="s">
        <v>36</v>
      </c>
      <c r="Q44" s="2">
        <v>70381548</v>
      </c>
      <c r="S44" s="2">
        <v>18</v>
      </c>
      <c r="T44" s="2" t="s">
        <v>36</v>
      </c>
      <c r="U44" s="2">
        <v>29325645</v>
      </c>
      <c r="W44" s="2">
        <v>18</v>
      </c>
      <c r="X44" s="2" t="s">
        <v>36</v>
      </c>
      <c r="Y44" s="9">
        <v>0</v>
      </c>
      <c r="AA44" s="2">
        <v>18</v>
      </c>
      <c r="AB44" s="2" t="s">
        <v>36</v>
      </c>
      <c r="AC44" s="4">
        <v>0</v>
      </c>
      <c r="AE44" s="2">
        <v>18</v>
      </c>
      <c r="AF44" s="2" t="s">
        <v>36</v>
      </c>
      <c r="AG44" s="4">
        <v>87976935</v>
      </c>
      <c r="AI44" s="2">
        <v>16</v>
      </c>
      <c r="AJ44" s="2" t="s">
        <v>36</v>
      </c>
      <c r="AM44" s="2">
        <v>16</v>
      </c>
      <c r="AN44" s="2" t="s">
        <v>36</v>
      </c>
      <c r="AQ44" s="2">
        <v>16</v>
      </c>
      <c r="AR44" s="2" t="s">
        <v>36</v>
      </c>
      <c r="AS44" s="2">
        <v>0</v>
      </c>
      <c r="AU44" s="2">
        <v>16</v>
      </c>
      <c r="AV44" s="2" t="s">
        <v>36</v>
      </c>
      <c r="AY44" s="2">
        <v>16</v>
      </c>
      <c r="AZ44" s="2" t="s">
        <v>36</v>
      </c>
    </row>
    <row r="45" spans="2:53" x14ac:dyDescent="0.25">
      <c r="B45" s="2" t="s">
        <v>37</v>
      </c>
      <c r="C45" s="2">
        <f t="shared" si="0"/>
        <v>0</v>
      </c>
      <c r="D45" s="2">
        <f>SUM(C43:C45)</f>
        <v>322499317</v>
      </c>
      <c r="E45" s="1">
        <f>D45/D$49*100</f>
        <v>0.42686928732711926</v>
      </c>
      <c r="G45" s="2">
        <v>19</v>
      </c>
      <c r="H45" s="6" t="s">
        <v>37</v>
      </c>
      <c r="I45" s="6">
        <v>0</v>
      </c>
      <c r="J45" s="6"/>
      <c r="K45" s="6">
        <v>19</v>
      </c>
      <c r="L45" s="6" t="s">
        <v>37</v>
      </c>
      <c r="M45" s="6">
        <v>0</v>
      </c>
      <c r="N45" s="3"/>
      <c r="O45" s="2">
        <v>19</v>
      </c>
      <c r="P45" s="2" t="s">
        <v>37</v>
      </c>
      <c r="Q45" s="2">
        <v>0</v>
      </c>
      <c r="S45" s="2">
        <v>19</v>
      </c>
      <c r="T45" s="2" t="s">
        <v>37</v>
      </c>
      <c r="U45" s="2">
        <v>0</v>
      </c>
      <c r="W45" s="2">
        <v>19</v>
      </c>
      <c r="X45" s="2" t="s">
        <v>37</v>
      </c>
      <c r="Y45" s="9">
        <v>0</v>
      </c>
      <c r="AA45" s="2">
        <v>19</v>
      </c>
      <c r="AB45" s="2" t="s">
        <v>37</v>
      </c>
      <c r="AC45" s="4">
        <v>0</v>
      </c>
      <c r="AE45" s="2">
        <v>19</v>
      </c>
      <c r="AF45" s="2" t="s">
        <v>37</v>
      </c>
      <c r="AG45" s="4">
        <v>0</v>
      </c>
      <c r="AI45" s="2">
        <v>17</v>
      </c>
      <c r="AJ45" s="2" t="s">
        <v>37</v>
      </c>
      <c r="AM45" s="2">
        <v>17</v>
      </c>
      <c r="AN45" s="2" t="s">
        <v>37</v>
      </c>
      <c r="AQ45" s="2">
        <v>17</v>
      </c>
      <c r="AR45" s="2" t="s">
        <v>37</v>
      </c>
      <c r="AS45" s="2">
        <v>0</v>
      </c>
      <c r="AU45" s="2">
        <v>17</v>
      </c>
      <c r="AV45" s="2" t="s">
        <v>37</v>
      </c>
      <c r="AY45" s="2">
        <v>17</v>
      </c>
      <c r="AZ45" s="2" t="s">
        <v>37</v>
      </c>
    </row>
    <row r="46" spans="2:53" x14ac:dyDescent="0.25">
      <c r="H46" s="6"/>
      <c r="I46" s="6"/>
      <c r="J46" s="6"/>
      <c r="K46" s="6"/>
      <c r="L46" s="6"/>
      <c r="M46" s="6"/>
      <c r="N46" s="3"/>
    </row>
    <row r="47" spans="2:53" x14ac:dyDescent="0.25">
      <c r="G47" s="2" t="s">
        <v>38</v>
      </c>
      <c r="H47" s="6"/>
      <c r="I47" s="6">
        <f>SUM(I27:I45)</f>
        <v>384444504</v>
      </c>
      <c r="J47" s="6"/>
      <c r="K47" s="6" t="s">
        <v>38</v>
      </c>
      <c r="L47" s="6"/>
      <c r="M47" s="6">
        <f>SUM(M27:M45)</f>
        <v>626984388</v>
      </c>
      <c r="N47" s="3"/>
      <c r="O47" s="2" t="s">
        <v>38</v>
      </c>
      <c r="Q47" s="2">
        <f>SUM(Q27:Q45)</f>
        <v>648623949</v>
      </c>
      <c r="S47" s="2" t="s">
        <v>38</v>
      </c>
      <c r="U47" s="2">
        <f>SUM(U27:U45)</f>
        <v>575374605</v>
      </c>
      <c r="W47" s="2" t="s">
        <v>38</v>
      </c>
      <c r="Y47" s="2">
        <f>SUM(Y27:Y45)</f>
        <v>384984630</v>
      </c>
      <c r="AA47" s="2" t="s">
        <v>38</v>
      </c>
      <c r="AC47" s="2">
        <f>SUM(AC27:AC45)</f>
        <v>512276100</v>
      </c>
      <c r="AE47" s="2" t="s">
        <v>38</v>
      </c>
      <c r="AG47" s="2">
        <f>SUM(AG27:AG45)</f>
        <v>1456943265</v>
      </c>
      <c r="AI47" s="2" t="s">
        <v>38</v>
      </c>
      <c r="AK47" s="2">
        <f>SUM(AK27:AK45)</f>
        <v>1382490681</v>
      </c>
      <c r="AM47" s="2" t="s">
        <v>38</v>
      </c>
      <c r="AO47" s="2">
        <f>SUM(AO27:AO45)</f>
        <v>2674320780</v>
      </c>
      <c r="AQ47" s="2" t="s">
        <v>38</v>
      </c>
      <c r="AS47" s="2">
        <f>SUM(AS27:AS45)</f>
        <v>163387560</v>
      </c>
      <c r="AU47" s="2" t="s">
        <v>38</v>
      </c>
      <c r="AW47" s="2">
        <f>SUM(AW27:AW45)</f>
        <v>479801940</v>
      </c>
      <c r="AY47" s="2" t="s">
        <v>38</v>
      </c>
      <c r="BA47" s="2">
        <f>SUM(BA27:BA45)</f>
        <v>722998373</v>
      </c>
    </row>
    <row r="48" spans="2:53" x14ac:dyDescent="0.25">
      <c r="G48" s="2" t="s">
        <v>39</v>
      </c>
      <c r="H48" s="6"/>
      <c r="I48" s="6">
        <f>SUM(I3:I25)</f>
        <v>1703933695</v>
      </c>
      <c r="J48" s="6"/>
      <c r="K48" s="6" t="s">
        <v>39</v>
      </c>
      <c r="L48" s="6"/>
      <c r="M48" s="6">
        <f>SUM(M3:M25)</f>
        <v>2019984993</v>
      </c>
      <c r="N48" s="3"/>
      <c r="O48" s="2" t="s">
        <v>39</v>
      </c>
      <c r="Q48" s="2">
        <f>SUM(Q3:Q25)</f>
        <v>4686513918</v>
      </c>
      <c r="S48" s="2" t="s">
        <v>39</v>
      </c>
      <c r="U48" s="2">
        <f>SUM(U3:U25)</f>
        <v>3777037515</v>
      </c>
      <c r="W48" s="2" t="s">
        <v>39</v>
      </c>
      <c r="Y48" s="2">
        <f>SUM(Y3:Y25)</f>
        <v>5089275131</v>
      </c>
      <c r="AA48" s="2" t="s">
        <v>39</v>
      </c>
      <c r="AC48" s="2">
        <f>SUM(AC3:AC25)</f>
        <v>5986686766</v>
      </c>
      <c r="AE48" s="2" t="s">
        <v>39</v>
      </c>
      <c r="AG48" s="2">
        <f>SUM(AG3:AG25)</f>
        <v>6028428815</v>
      </c>
      <c r="AI48" s="2" t="s">
        <v>39</v>
      </c>
      <c r="AK48" s="2">
        <f>SUM(AK3:AK25)</f>
        <v>8622584230</v>
      </c>
      <c r="AM48" s="2" t="s">
        <v>39</v>
      </c>
      <c r="AO48" s="2">
        <f>SUM(AO3:AO25)</f>
        <v>17454890915</v>
      </c>
      <c r="AQ48" s="2" t="s">
        <v>39</v>
      </c>
      <c r="AS48" s="2">
        <f>SUM(AS3:AS25)</f>
        <v>86314655</v>
      </c>
      <c r="AU48" s="2" t="s">
        <v>39</v>
      </c>
      <c r="AW48" s="2">
        <f>SUM(AW3:AW25)</f>
        <v>821555956</v>
      </c>
      <c r="AY48" s="2" t="s">
        <v>39</v>
      </c>
      <c r="BA48" s="2">
        <f>SUM(BA3:BA25)</f>
        <v>9260062002</v>
      </c>
    </row>
    <row r="49" spans="2:53" x14ac:dyDescent="0.25">
      <c r="B49" s="2">
        <v>95000000000</v>
      </c>
      <c r="C49" s="2">
        <f>SUM(C3:C48)</f>
        <v>75549899366</v>
      </c>
      <c r="D49" s="2">
        <f>SUM(D3:D48)</f>
        <v>75549899366</v>
      </c>
      <c r="E49" s="1">
        <f>D49/D$49*100</f>
        <v>100</v>
      </c>
      <c r="G49" s="2" t="s">
        <v>40</v>
      </c>
      <c r="H49" s="6"/>
      <c r="I49" s="6">
        <f>I48+I47</f>
        <v>2088378199</v>
      </c>
      <c r="J49" s="6"/>
      <c r="K49" s="6" t="s">
        <v>40</v>
      </c>
      <c r="L49" s="6"/>
      <c r="M49" s="6">
        <f>M48+M47</f>
        <v>2646969381</v>
      </c>
      <c r="N49" s="3"/>
      <c r="O49" s="2" t="s">
        <v>40</v>
      </c>
      <c r="Q49" s="2">
        <f>Q48+Q47</f>
        <v>5335137867</v>
      </c>
      <c r="S49" s="2" t="s">
        <v>40</v>
      </c>
      <c r="U49" s="2">
        <f>U48+U47</f>
        <v>4352412120</v>
      </c>
      <c r="W49" s="2" t="s">
        <v>40</v>
      </c>
      <c r="Y49" s="2">
        <f>Y48+Y47</f>
        <v>5474259761</v>
      </c>
      <c r="AA49" s="2" t="s">
        <v>40</v>
      </c>
      <c r="AC49" s="2">
        <f>AC48+AC47</f>
        <v>6498962866</v>
      </c>
      <c r="AE49" s="2" t="s">
        <v>40</v>
      </c>
      <c r="AG49" s="2">
        <f>AG48+AG47</f>
        <v>7485372080</v>
      </c>
      <c r="AI49" s="2" t="s">
        <v>40</v>
      </c>
      <c r="AK49" s="2">
        <f>AK48+AK47</f>
        <v>10005074911</v>
      </c>
      <c r="AM49" s="2" t="s">
        <v>40</v>
      </c>
      <c r="AO49" s="2">
        <f>AO48+AO47</f>
        <v>20129211695</v>
      </c>
      <c r="AQ49" s="2" t="s">
        <v>40</v>
      </c>
      <c r="AS49" s="2">
        <f>AS48+AS47</f>
        <v>249702215</v>
      </c>
      <c r="AU49" s="2" t="s">
        <v>40</v>
      </c>
      <c r="AW49" s="2">
        <f>AW48+AW47</f>
        <v>1301357896</v>
      </c>
      <c r="AY49" s="2" t="s">
        <v>40</v>
      </c>
      <c r="BA49" s="2">
        <f>BA48+BA47</f>
        <v>9983060375</v>
      </c>
    </row>
    <row r="50" spans="2:53" x14ac:dyDescent="0.25">
      <c r="B50" s="13">
        <f>C49/B49*100</f>
        <v>79.526209858947368</v>
      </c>
      <c r="C50" s="2">
        <f>C49-C51</f>
        <v>0</v>
      </c>
      <c r="H50" s="6"/>
      <c r="I50" s="6"/>
      <c r="J50" s="6"/>
      <c r="K50" s="6"/>
      <c r="L50" s="6"/>
      <c r="M50" s="6"/>
      <c r="AW50" s="2">
        <f>AW51-AW49</f>
        <v>0</v>
      </c>
      <c r="BA50" s="2">
        <f>BA51-BA49</f>
        <v>0</v>
      </c>
    </row>
    <row r="51" spans="2:53" x14ac:dyDescent="0.25">
      <c r="B51" s="13"/>
      <c r="C51" s="2">
        <f>I51+M51+Q51+U51+Y51+AC51+AG51+AK51+AO51+AS51+AW51+BA51</f>
        <v>75549899366</v>
      </c>
      <c r="H51" s="6"/>
      <c r="I51" s="6">
        <f>SUM(I3:I46)</f>
        <v>2088378199</v>
      </c>
      <c r="J51" s="6"/>
      <c r="K51" s="6"/>
      <c r="L51" s="6"/>
      <c r="M51" s="6">
        <f>SUM(M3:M46)</f>
        <v>2646969381</v>
      </c>
      <c r="Q51" s="2">
        <f>SUM(Q3:Q46)</f>
        <v>5335137867</v>
      </c>
      <c r="U51" s="2">
        <f>SUM(U3:U46)</f>
        <v>4352412120</v>
      </c>
      <c r="Y51" s="2">
        <f>SUM(Y3:Y46)</f>
        <v>5474259761</v>
      </c>
      <c r="AC51" s="2">
        <f>SUM(AC3:AC46)</f>
        <v>6498962866</v>
      </c>
      <c r="AG51" s="2">
        <f>SUM(AG3:AG46)</f>
        <v>7485372080</v>
      </c>
      <c r="AK51" s="2">
        <f>SUM(AK3:AK46)</f>
        <v>10005074911</v>
      </c>
      <c r="AO51" s="2">
        <f>SUM(AO3:AO46)</f>
        <v>20129211695</v>
      </c>
      <c r="AS51" s="2">
        <f>SUM(AS3:AS46)</f>
        <v>249702215</v>
      </c>
      <c r="AW51" s="2">
        <f>SUM(AW3:AW46)</f>
        <v>1301357896</v>
      </c>
      <c r="BA51" s="2">
        <f>SUM(BA3:BA46)</f>
        <v>9983060375</v>
      </c>
    </row>
    <row r="52" spans="2:53" x14ac:dyDescent="0.25">
      <c r="I52" s="2">
        <f>I51-I49</f>
        <v>0</v>
      </c>
      <c r="M52" s="2">
        <f>M51-M49</f>
        <v>0</v>
      </c>
    </row>
  </sheetData>
  <mergeCells count="1">
    <mergeCell ref="B50:B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E866-41DA-48C2-8D56-21BDF031F384}">
  <dimension ref="B1:BA56"/>
  <sheetViews>
    <sheetView tabSelected="1" topLeftCell="AP40" workbookViewId="0">
      <selection activeCell="AR27" sqref="AR27:AS30"/>
    </sheetView>
  </sheetViews>
  <sheetFormatPr defaultColWidth="9.140625" defaultRowHeight="15" x14ac:dyDescent="0.25"/>
  <cols>
    <col min="1" max="1" width="6.7109375" style="2" customWidth="1"/>
    <col min="2" max="2" width="35" style="2" customWidth="1"/>
    <col min="3" max="3" width="18.85546875" style="2" customWidth="1"/>
    <col min="4" max="4" width="19.140625" style="2" customWidth="1"/>
    <col min="5" max="5" width="9.140625" style="1"/>
    <col min="6" max="6" width="6.7109375" style="2" customWidth="1"/>
    <col min="7" max="7" width="6.28515625" style="2" customWidth="1"/>
    <col min="8" max="8" width="30.5703125" style="2" customWidth="1"/>
    <col min="9" max="9" width="14.5703125" style="2" customWidth="1"/>
    <col min="10" max="10" width="5.140625" style="2" customWidth="1"/>
    <col min="11" max="11" width="9.140625" style="2"/>
    <col min="12" max="12" width="31.28515625" style="2" customWidth="1"/>
    <col min="13" max="13" width="16.7109375" style="2" customWidth="1"/>
    <col min="14" max="14" width="5.42578125" style="2" customWidth="1"/>
    <col min="15" max="15" width="9.140625" style="2"/>
    <col min="16" max="16" width="34.42578125" style="2" customWidth="1"/>
    <col min="17" max="17" width="16.7109375" style="2" customWidth="1"/>
    <col min="18" max="18" width="4.28515625" style="2" customWidth="1"/>
    <col min="19" max="19" width="7.42578125" style="2" customWidth="1"/>
    <col min="20" max="20" width="32.28515625" style="2" customWidth="1"/>
    <col min="21" max="21" width="15.85546875" style="2" customWidth="1"/>
    <col min="22" max="22" width="3.7109375" style="2" customWidth="1"/>
    <col min="23" max="23" width="7.7109375" style="2" customWidth="1"/>
    <col min="24" max="24" width="32.28515625" style="2" customWidth="1"/>
    <col min="25" max="25" width="16.85546875" style="2" customWidth="1"/>
    <col min="26" max="26" width="5.42578125" style="2" customWidth="1"/>
    <col min="27" max="27" width="7.28515625" style="2" customWidth="1"/>
    <col min="28" max="28" width="31.5703125" style="2" customWidth="1"/>
    <col min="29" max="29" width="16" style="2" customWidth="1"/>
    <col min="30" max="30" width="5.28515625" style="2" customWidth="1"/>
    <col min="31" max="31" width="6.85546875" style="2" customWidth="1"/>
    <col min="32" max="32" width="31.140625" style="2" customWidth="1"/>
    <col min="33" max="33" width="15.85546875" style="2" customWidth="1"/>
    <col min="34" max="34" width="5.85546875" style="2" customWidth="1"/>
    <col min="35" max="35" width="7" style="2" customWidth="1"/>
    <col min="36" max="36" width="30.28515625" style="2" customWidth="1"/>
    <col min="37" max="37" width="16.42578125" style="2" customWidth="1"/>
    <col min="38" max="38" width="5.28515625" style="2" customWidth="1"/>
    <col min="39" max="39" width="8.28515625" style="2" customWidth="1"/>
    <col min="40" max="40" width="34.7109375" style="2" customWidth="1"/>
    <col min="41" max="41" width="16.7109375" style="2" customWidth="1"/>
    <col min="42" max="43" width="9.140625" style="2"/>
    <col min="44" max="44" width="35.5703125" style="2" customWidth="1"/>
    <col min="45" max="45" width="16.7109375" style="2" customWidth="1"/>
    <col min="46" max="47" width="9.140625" style="2"/>
    <col min="48" max="48" width="33" style="2" customWidth="1"/>
    <col min="49" max="49" width="20" style="2" customWidth="1"/>
    <col min="50" max="51" width="9.140625" style="2"/>
    <col min="52" max="52" width="37" style="2" customWidth="1"/>
    <col min="53" max="53" width="20.42578125" style="2" customWidth="1"/>
    <col min="54" max="16384" width="9.140625" style="2"/>
  </cols>
  <sheetData>
    <row r="1" spans="2:53" x14ac:dyDescent="0.25">
      <c r="B1" s="2" t="s">
        <v>66</v>
      </c>
      <c r="H1" s="6"/>
      <c r="I1" s="10" t="s">
        <v>50</v>
      </c>
      <c r="J1" s="6"/>
      <c r="K1" s="6"/>
      <c r="L1" s="6"/>
      <c r="M1" s="10" t="s">
        <v>51</v>
      </c>
      <c r="N1" s="3"/>
      <c r="Q1" s="11" t="s">
        <v>52</v>
      </c>
      <c r="U1" s="11" t="s">
        <v>49</v>
      </c>
      <c r="Y1" s="11" t="s">
        <v>53</v>
      </c>
      <c r="AC1" s="11" t="s">
        <v>58</v>
      </c>
      <c r="AG1" s="11" t="s">
        <v>59</v>
      </c>
      <c r="AK1" s="11" t="s">
        <v>60</v>
      </c>
      <c r="AO1" s="11" t="s">
        <v>55</v>
      </c>
      <c r="AS1" s="11" t="s">
        <v>56</v>
      </c>
      <c r="AW1" s="11" t="s">
        <v>61</v>
      </c>
      <c r="BA1" s="11" t="s">
        <v>57</v>
      </c>
    </row>
    <row r="2" spans="2:53" x14ac:dyDescent="0.25">
      <c r="H2" s="6"/>
      <c r="I2" s="6"/>
      <c r="J2" s="6"/>
      <c r="K2" s="6"/>
      <c r="L2" s="6"/>
      <c r="M2" s="6"/>
      <c r="N2" s="3"/>
    </row>
    <row r="3" spans="2:53" x14ac:dyDescent="0.25">
      <c r="B3" s="2" t="s">
        <v>0</v>
      </c>
      <c r="C3" s="2">
        <f>I3+M3+Q3+U3+Y3+AC3+AG3+AK3+AO3+AS3+AW3+BA3</f>
        <v>21203220</v>
      </c>
      <c r="G3" s="2">
        <v>1</v>
      </c>
      <c r="H3" s="6" t="s">
        <v>0</v>
      </c>
      <c r="I3" s="6">
        <v>3595845</v>
      </c>
      <c r="J3" s="6"/>
      <c r="K3" s="6">
        <v>1</v>
      </c>
      <c r="L3" s="6" t="s">
        <v>0</v>
      </c>
      <c r="M3" s="6">
        <v>757020</v>
      </c>
      <c r="N3" s="3"/>
      <c r="O3" s="2">
        <v>1</v>
      </c>
      <c r="P3" s="2" t="s">
        <v>0</v>
      </c>
      <c r="Q3" s="2">
        <v>757020</v>
      </c>
      <c r="S3" s="2">
        <v>1</v>
      </c>
      <c r="T3" s="2" t="s">
        <v>0</v>
      </c>
      <c r="U3" s="4">
        <v>4352865</v>
      </c>
      <c r="W3" s="2">
        <v>1</v>
      </c>
      <c r="X3" s="2" t="s">
        <v>0</v>
      </c>
      <c r="Y3" s="7">
        <v>0</v>
      </c>
      <c r="AA3" s="2">
        <v>1</v>
      </c>
      <c r="AB3" s="2" t="s">
        <v>0</v>
      </c>
      <c r="AC3" s="4">
        <v>0</v>
      </c>
      <c r="AE3" s="2">
        <v>1</v>
      </c>
      <c r="AF3" s="2" t="s">
        <v>0</v>
      </c>
      <c r="AG3" s="4">
        <v>3595845</v>
      </c>
      <c r="AI3" s="2">
        <v>1</v>
      </c>
      <c r="AJ3" s="2" t="s">
        <v>0</v>
      </c>
      <c r="AK3" s="2">
        <v>1514040</v>
      </c>
      <c r="AM3" s="2">
        <v>1</v>
      </c>
      <c r="AN3" s="2" t="s">
        <v>0</v>
      </c>
      <c r="AO3" s="2">
        <v>3595845</v>
      </c>
      <c r="AQ3" s="2">
        <v>1</v>
      </c>
      <c r="AR3" s="2" t="s">
        <v>0</v>
      </c>
      <c r="AS3" s="2">
        <v>757020</v>
      </c>
      <c r="AU3" s="2">
        <v>1</v>
      </c>
      <c r="AV3" s="2" t="s">
        <v>0</v>
      </c>
      <c r="AW3" s="2">
        <v>2277720</v>
      </c>
      <c r="AY3" s="2">
        <v>1</v>
      </c>
      <c r="AZ3" s="2" t="s">
        <v>0</v>
      </c>
    </row>
    <row r="4" spans="2:53" x14ac:dyDescent="0.25">
      <c r="B4" s="2" t="s">
        <v>1</v>
      </c>
      <c r="C4" s="2">
        <f t="shared" ref="C4:C49" si="0">I4+M4+Q4+U4+Y4+AC4+AG4+AK4+AO4+AS4+AW4+BA4</f>
        <v>46514550</v>
      </c>
      <c r="G4" s="2">
        <v>2</v>
      </c>
      <c r="H4" s="6" t="s">
        <v>1</v>
      </c>
      <c r="I4" s="6">
        <v>4435227</v>
      </c>
      <c r="J4" s="6"/>
      <c r="K4" s="6">
        <v>2</v>
      </c>
      <c r="L4" s="6" t="s">
        <v>1</v>
      </c>
      <c r="M4" s="6">
        <v>3112440</v>
      </c>
      <c r="N4" s="3"/>
      <c r="O4" s="2">
        <v>2</v>
      </c>
      <c r="P4" s="2" t="s">
        <v>1</v>
      </c>
      <c r="Q4" s="2">
        <v>1556220</v>
      </c>
      <c r="S4" s="2">
        <v>2</v>
      </c>
      <c r="T4" s="2" t="s">
        <v>1</v>
      </c>
      <c r="U4" s="4">
        <v>7392045</v>
      </c>
      <c r="W4" s="2">
        <v>2</v>
      </c>
      <c r="X4" s="2" t="s">
        <v>1</v>
      </c>
      <c r="Y4" s="7">
        <v>4435227</v>
      </c>
      <c r="AA4" s="2">
        <v>2</v>
      </c>
      <c r="AB4" s="2" t="s">
        <v>1</v>
      </c>
      <c r="AC4" s="4">
        <v>0</v>
      </c>
      <c r="AE4" s="2">
        <v>2</v>
      </c>
      <c r="AF4" s="2" t="s">
        <v>1</v>
      </c>
      <c r="AG4" s="4">
        <v>1556220</v>
      </c>
      <c r="AI4" s="2">
        <v>2</v>
      </c>
      <c r="AJ4" s="2" t="s">
        <v>1</v>
      </c>
      <c r="AK4" s="2">
        <v>8948265</v>
      </c>
      <c r="AM4" s="2">
        <v>2</v>
      </c>
      <c r="AN4" s="2" t="s">
        <v>1</v>
      </c>
      <c r="AO4" s="2">
        <v>8948265</v>
      </c>
      <c r="AQ4" s="2">
        <v>2</v>
      </c>
      <c r="AR4" s="2" t="s">
        <v>1</v>
      </c>
      <c r="AS4" s="2">
        <v>1556220</v>
      </c>
      <c r="AU4" s="2">
        <v>2</v>
      </c>
      <c r="AV4" s="2" t="s">
        <v>1</v>
      </c>
      <c r="AW4" s="2">
        <v>4574421</v>
      </c>
      <c r="AY4" s="2">
        <v>2</v>
      </c>
      <c r="AZ4" s="2" t="s">
        <v>1</v>
      </c>
    </row>
    <row r="5" spans="2:53" x14ac:dyDescent="0.25">
      <c r="B5" s="2" t="s">
        <v>2</v>
      </c>
      <c r="C5" s="2">
        <f t="shared" si="0"/>
        <v>233554548</v>
      </c>
      <c r="G5" s="2">
        <v>4</v>
      </c>
      <c r="H5" s="6" t="s">
        <v>2</v>
      </c>
      <c r="I5" s="6">
        <v>32789678</v>
      </c>
      <c r="J5" s="6"/>
      <c r="K5" s="6">
        <v>4</v>
      </c>
      <c r="L5" s="6" t="s">
        <v>41</v>
      </c>
      <c r="M5" s="6">
        <v>23393805</v>
      </c>
      <c r="N5" s="3"/>
      <c r="O5" s="2">
        <v>4</v>
      </c>
      <c r="P5" s="2" t="s">
        <v>45</v>
      </c>
      <c r="Q5" s="2">
        <v>9587625</v>
      </c>
      <c r="S5" s="2">
        <v>4</v>
      </c>
      <c r="T5" s="2" t="s">
        <v>2</v>
      </c>
      <c r="U5" s="4">
        <v>21284528</v>
      </c>
      <c r="W5" s="2">
        <v>4</v>
      </c>
      <c r="X5" s="2" t="s">
        <v>2</v>
      </c>
      <c r="Y5" s="7">
        <v>18293189</v>
      </c>
      <c r="AA5" s="2">
        <v>4</v>
      </c>
      <c r="AB5" s="2" t="s">
        <v>2</v>
      </c>
      <c r="AC5" s="4">
        <v>24851124</v>
      </c>
      <c r="AE5" s="2">
        <v>4</v>
      </c>
      <c r="AF5" s="2" t="s">
        <v>2</v>
      </c>
      <c r="AG5" s="4">
        <v>14573190</v>
      </c>
      <c r="AI5" s="2">
        <v>4</v>
      </c>
      <c r="AJ5" s="2" t="s">
        <v>2</v>
      </c>
      <c r="AK5" s="2">
        <v>50814413</v>
      </c>
      <c r="AM5" s="2">
        <v>3</v>
      </c>
      <c r="AN5" s="2" t="s">
        <v>2</v>
      </c>
      <c r="AO5" s="2">
        <v>5177318</v>
      </c>
      <c r="AQ5" s="2">
        <v>3</v>
      </c>
      <c r="AR5" s="2" t="s">
        <v>2</v>
      </c>
      <c r="AS5" s="2">
        <v>32789678</v>
      </c>
      <c r="AU5" s="2">
        <v>3</v>
      </c>
      <c r="AV5" s="2" t="s">
        <v>2</v>
      </c>
      <c r="AW5" s="2">
        <v>0</v>
      </c>
      <c r="AY5" s="2">
        <v>3</v>
      </c>
      <c r="AZ5" s="2" t="s">
        <v>2</v>
      </c>
    </row>
    <row r="6" spans="2:53" x14ac:dyDescent="0.25">
      <c r="B6" s="2" t="s">
        <v>3</v>
      </c>
      <c r="C6" s="2">
        <f t="shared" si="0"/>
        <v>1519957632</v>
      </c>
      <c r="G6" s="2">
        <v>5</v>
      </c>
      <c r="H6" s="6" t="s">
        <v>3</v>
      </c>
      <c r="I6" s="6">
        <v>156039360</v>
      </c>
      <c r="J6" s="6"/>
      <c r="K6" s="6">
        <v>5</v>
      </c>
      <c r="L6" s="6" t="s">
        <v>42</v>
      </c>
      <c r="M6" s="6">
        <v>164208960</v>
      </c>
      <c r="N6" s="3"/>
      <c r="O6" s="2">
        <v>5</v>
      </c>
      <c r="P6" s="2" t="s">
        <v>46</v>
      </c>
      <c r="Q6" s="2">
        <v>88231680</v>
      </c>
      <c r="S6" s="2">
        <v>5</v>
      </c>
      <c r="T6" s="2" t="s">
        <v>3</v>
      </c>
      <c r="U6" s="4">
        <v>210775680</v>
      </c>
      <c r="W6" s="2">
        <v>5</v>
      </c>
      <c r="X6" s="2" t="s">
        <v>3</v>
      </c>
      <c r="Y6" s="7">
        <v>195253440</v>
      </c>
      <c r="AA6" s="2">
        <v>5</v>
      </c>
      <c r="AB6" s="2" t="s">
        <v>3</v>
      </c>
      <c r="AC6" s="4">
        <v>133164480</v>
      </c>
      <c r="AE6" s="2">
        <v>5</v>
      </c>
      <c r="AF6" s="2" t="s">
        <v>3</v>
      </c>
      <c r="AG6" s="4">
        <v>179731200</v>
      </c>
      <c r="AI6" s="2">
        <v>5</v>
      </c>
      <c r="AJ6" s="2" t="s">
        <v>3</v>
      </c>
      <c r="AK6" s="2">
        <v>227114880</v>
      </c>
      <c r="AM6" s="2">
        <v>4</v>
      </c>
      <c r="AN6" s="2" t="s">
        <v>3</v>
      </c>
      <c r="AO6" s="2">
        <v>92561568</v>
      </c>
      <c r="AQ6" s="2">
        <v>4</v>
      </c>
      <c r="AR6" s="2" t="s">
        <v>3</v>
      </c>
      <c r="AS6" s="2">
        <v>45341280</v>
      </c>
      <c r="AU6" s="2">
        <v>4</v>
      </c>
      <c r="AV6" s="2" t="s">
        <v>3</v>
      </c>
      <c r="AW6" s="2">
        <v>0</v>
      </c>
      <c r="AY6" s="2">
        <v>4</v>
      </c>
      <c r="AZ6" s="2" t="s">
        <v>3</v>
      </c>
      <c r="BA6" s="2">
        <v>27535104</v>
      </c>
    </row>
    <row r="7" spans="2:53" x14ac:dyDescent="0.25">
      <c r="B7" s="2" t="s">
        <v>4</v>
      </c>
      <c r="C7" s="2">
        <f t="shared" si="0"/>
        <v>22424943</v>
      </c>
      <c r="G7" s="2">
        <v>8</v>
      </c>
      <c r="H7" s="6" t="s">
        <v>4</v>
      </c>
      <c r="I7" s="6">
        <v>0</v>
      </c>
      <c r="J7" s="6"/>
      <c r="K7" s="6">
        <v>8</v>
      </c>
      <c r="L7" s="6" t="s">
        <v>43</v>
      </c>
      <c r="M7" s="6">
        <v>0</v>
      </c>
      <c r="N7" s="3"/>
      <c r="O7" s="2">
        <v>8</v>
      </c>
      <c r="P7" s="2" t="s">
        <v>47</v>
      </c>
      <c r="Q7" s="2">
        <v>767010</v>
      </c>
      <c r="S7" s="2">
        <v>8</v>
      </c>
      <c r="T7" s="2" t="s">
        <v>4</v>
      </c>
      <c r="U7" s="4">
        <v>2991339</v>
      </c>
      <c r="W7" s="2">
        <v>8</v>
      </c>
      <c r="X7" s="2" t="s">
        <v>4</v>
      </c>
      <c r="Y7" s="7">
        <v>4410308</v>
      </c>
      <c r="AA7" s="2">
        <v>8</v>
      </c>
      <c r="AB7" s="2" t="s">
        <v>4</v>
      </c>
      <c r="AC7" s="4">
        <v>0</v>
      </c>
      <c r="AE7" s="2">
        <v>8</v>
      </c>
      <c r="AF7" s="2" t="s">
        <v>54</v>
      </c>
      <c r="AG7" s="4">
        <v>3643298</v>
      </c>
      <c r="AJ7" s="2" t="s">
        <v>4</v>
      </c>
      <c r="AK7" s="2">
        <v>5177318</v>
      </c>
      <c r="AM7" s="2">
        <v>5</v>
      </c>
      <c r="AN7" s="2" t="s">
        <v>54</v>
      </c>
      <c r="AO7" s="2">
        <v>767010</v>
      </c>
      <c r="AQ7" s="2">
        <v>5</v>
      </c>
      <c r="AR7" s="2" t="s">
        <v>54</v>
      </c>
      <c r="AS7" s="2">
        <v>4668660</v>
      </c>
      <c r="AU7" s="2">
        <v>5</v>
      </c>
      <c r="AV7" s="2" t="s">
        <v>54</v>
      </c>
      <c r="AW7" s="2">
        <v>0</v>
      </c>
      <c r="AY7" s="2">
        <v>5</v>
      </c>
      <c r="AZ7" s="2" t="s">
        <v>54</v>
      </c>
    </row>
    <row r="8" spans="2:53" x14ac:dyDescent="0.25">
      <c r="B8" s="2" t="s">
        <v>5</v>
      </c>
      <c r="C8" s="2">
        <f t="shared" si="0"/>
        <v>122227872</v>
      </c>
      <c r="D8" s="2">
        <f>SUM(C3:C8)</f>
        <v>1965882765</v>
      </c>
      <c r="E8" s="1">
        <f>D8/D$53*100</f>
        <v>2.1475738156849942</v>
      </c>
      <c r="G8" s="2">
        <v>9</v>
      </c>
      <c r="H8" s="6" t="s">
        <v>5</v>
      </c>
      <c r="I8" s="6">
        <v>0</v>
      </c>
      <c r="J8" s="6"/>
      <c r="K8" s="6">
        <v>9</v>
      </c>
      <c r="L8" s="6" t="s">
        <v>44</v>
      </c>
      <c r="M8" s="6">
        <v>0</v>
      </c>
      <c r="N8" s="3"/>
      <c r="O8" s="2">
        <v>9</v>
      </c>
      <c r="P8" s="2" t="s">
        <v>48</v>
      </c>
      <c r="Q8" s="2">
        <v>3267840</v>
      </c>
      <c r="S8" s="2">
        <v>9</v>
      </c>
      <c r="T8" s="2" t="s">
        <v>5</v>
      </c>
      <c r="U8" s="4">
        <v>9395040</v>
      </c>
      <c r="W8" s="2">
        <v>9</v>
      </c>
      <c r="X8" s="2" t="s">
        <v>5</v>
      </c>
      <c r="Y8" s="7">
        <v>24917280</v>
      </c>
      <c r="AA8" s="2">
        <v>9</v>
      </c>
      <c r="AB8" s="2" t="s">
        <v>5</v>
      </c>
      <c r="AC8" s="4">
        <v>9395040</v>
      </c>
      <c r="AE8" s="2">
        <v>9</v>
      </c>
      <c r="AF8" s="2" t="s">
        <v>5</v>
      </c>
      <c r="AG8" s="4">
        <v>9395040</v>
      </c>
      <c r="AJ8" s="2" t="s">
        <v>5</v>
      </c>
      <c r="AK8" s="2">
        <v>26551200</v>
      </c>
      <c r="AM8" s="2">
        <v>6</v>
      </c>
      <c r="AN8" s="2" t="s">
        <v>5</v>
      </c>
      <c r="AO8" s="2">
        <v>9395040</v>
      </c>
      <c r="AQ8" s="2">
        <v>6</v>
      </c>
      <c r="AR8" s="2" t="s">
        <v>5</v>
      </c>
      <c r="AS8" s="2">
        <v>21812832</v>
      </c>
      <c r="AU8" s="2">
        <v>6</v>
      </c>
      <c r="AV8" s="2" t="s">
        <v>5</v>
      </c>
      <c r="AW8" s="2">
        <v>0</v>
      </c>
      <c r="AY8" s="2">
        <v>6</v>
      </c>
      <c r="AZ8" s="2" t="s">
        <v>5</v>
      </c>
      <c r="BA8" s="2">
        <v>8098560</v>
      </c>
    </row>
    <row r="9" spans="2:53" x14ac:dyDescent="0.25">
      <c r="C9" s="2">
        <f t="shared" si="0"/>
        <v>0</v>
      </c>
      <c r="G9" s="2" t="s">
        <v>6</v>
      </c>
      <c r="H9" s="6"/>
      <c r="I9" s="6"/>
      <c r="J9" s="6"/>
      <c r="K9" s="6" t="s">
        <v>6</v>
      </c>
      <c r="L9" s="6"/>
      <c r="M9" s="6"/>
      <c r="N9" s="3"/>
      <c r="O9" s="2" t="s">
        <v>6</v>
      </c>
      <c r="S9" s="2" t="s">
        <v>6</v>
      </c>
      <c r="W9" s="2" t="s">
        <v>6</v>
      </c>
      <c r="Y9" s="8"/>
      <c r="AA9" s="2" t="s">
        <v>6</v>
      </c>
      <c r="AE9" s="2" t="s">
        <v>6</v>
      </c>
      <c r="AI9" s="2" t="s">
        <v>6</v>
      </c>
    </row>
    <row r="10" spans="2:53" x14ac:dyDescent="0.25">
      <c r="C10" s="2">
        <f t="shared" si="0"/>
        <v>0</v>
      </c>
      <c r="H10" s="6"/>
      <c r="I10" s="6"/>
      <c r="J10" s="6"/>
      <c r="K10" s="6"/>
      <c r="L10" s="6"/>
      <c r="M10" s="6"/>
      <c r="N10" s="3"/>
      <c r="Y10" s="8"/>
    </row>
    <row r="11" spans="2:53" x14ac:dyDescent="0.25">
      <c r="B11" s="2" t="s">
        <v>7</v>
      </c>
      <c r="C11" s="2">
        <f t="shared" si="0"/>
        <v>9542948</v>
      </c>
      <c r="G11" s="2">
        <v>12</v>
      </c>
      <c r="H11" s="6" t="s">
        <v>7</v>
      </c>
      <c r="I11" s="6">
        <v>0</v>
      </c>
      <c r="J11" s="6"/>
      <c r="K11" s="6">
        <v>12</v>
      </c>
      <c r="L11" s="6" t="s">
        <v>7</v>
      </c>
      <c r="M11" s="6">
        <v>0</v>
      </c>
      <c r="N11" s="3"/>
      <c r="O11" s="2">
        <v>12</v>
      </c>
      <c r="P11" s="2" t="s">
        <v>7</v>
      </c>
      <c r="Q11" s="2">
        <v>7411748</v>
      </c>
      <c r="S11" s="2">
        <v>12</v>
      </c>
      <c r="T11" s="2" t="s">
        <v>7</v>
      </c>
      <c r="U11" s="4">
        <v>0</v>
      </c>
      <c r="W11" s="2">
        <v>12</v>
      </c>
      <c r="X11" s="2" t="s">
        <v>7</v>
      </c>
      <c r="Y11" s="8">
        <v>0</v>
      </c>
      <c r="AA11" s="2">
        <v>12</v>
      </c>
      <c r="AB11" s="2" t="s">
        <v>7</v>
      </c>
      <c r="AC11" s="4">
        <v>0</v>
      </c>
      <c r="AE11" s="2">
        <v>12</v>
      </c>
      <c r="AF11" s="2" t="s">
        <v>7</v>
      </c>
      <c r="AG11" s="2">
        <v>0</v>
      </c>
      <c r="AI11" s="2">
        <v>7</v>
      </c>
      <c r="AJ11" s="2" t="s">
        <v>7</v>
      </c>
      <c r="AK11" s="2">
        <v>0</v>
      </c>
      <c r="AM11" s="2">
        <v>7</v>
      </c>
      <c r="AN11" s="2" t="s">
        <v>7</v>
      </c>
      <c r="AO11" s="2">
        <v>0</v>
      </c>
      <c r="AQ11" s="2">
        <v>7</v>
      </c>
      <c r="AR11" s="2" t="s">
        <v>7</v>
      </c>
      <c r="AS11" s="2">
        <v>0</v>
      </c>
      <c r="AU11" s="2">
        <v>7</v>
      </c>
      <c r="AV11" s="2" t="s">
        <v>7</v>
      </c>
      <c r="AW11" s="2">
        <v>0</v>
      </c>
      <c r="AY11" s="2">
        <v>7</v>
      </c>
      <c r="AZ11" s="2" t="s">
        <v>7</v>
      </c>
      <c r="BA11" s="2">
        <v>2131200</v>
      </c>
    </row>
    <row r="12" spans="2:53" x14ac:dyDescent="0.25">
      <c r="B12" s="2" t="s">
        <v>8</v>
      </c>
      <c r="C12" s="2">
        <f t="shared" si="0"/>
        <v>147718800</v>
      </c>
      <c r="G12" s="2">
        <v>14</v>
      </c>
      <c r="H12" s="6" t="s">
        <v>8</v>
      </c>
      <c r="I12" s="6">
        <v>0</v>
      </c>
      <c r="J12" s="6"/>
      <c r="K12" s="6">
        <v>14</v>
      </c>
      <c r="L12" s="6" t="s">
        <v>8</v>
      </c>
      <c r="M12" s="6">
        <v>0</v>
      </c>
      <c r="N12" s="3"/>
      <c r="O12" s="2">
        <v>14</v>
      </c>
      <c r="P12" s="2" t="s">
        <v>8</v>
      </c>
      <c r="Q12" s="2">
        <v>0</v>
      </c>
      <c r="S12" s="2">
        <v>14</v>
      </c>
      <c r="T12" s="2" t="s">
        <v>8</v>
      </c>
      <c r="U12" s="4">
        <v>0</v>
      </c>
      <c r="W12" s="2">
        <v>14</v>
      </c>
      <c r="X12" s="2" t="s">
        <v>8</v>
      </c>
      <c r="Y12" s="8">
        <v>0</v>
      </c>
      <c r="AA12" s="2">
        <v>14</v>
      </c>
      <c r="AB12" s="2" t="s">
        <v>8</v>
      </c>
      <c r="AC12" s="4">
        <v>61549500</v>
      </c>
      <c r="AE12" s="2">
        <v>14</v>
      </c>
      <c r="AF12" s="2" t="s">
        <v>8</v>
      </c>
      <c r="AG12" s="2">
        <v>61549500</v>
      </c>
      <c r="AI12" s="2">
        <v>9</v>
      </c>
      <c r="AJ12" s="2" t="s">
        <v>8</v>
      </c>
      <c r="AK12" s="2">
        <v>0</v>
      </c>
      <c r="AM12" s="2">
        <v>9</v>
      </c>
      <c r="AN12" s="2" t="s">
        <v>8</v>
      </c>
      <c r="AO12" s="2">
        <v>0</v>
      </c>
      <c r="AQ12" s="2">
        <v>9</v>
      </c>
      <c r="AR12" s="2" t="s">
        <v>8</v>
      </c>
      <c r="AS12" s="2">
        <v>24619800</v>
      </c>
      <c r="AU12" s="2">
        <v>9</v>
      </c>
      <c r="AV12" s="2" t="s">
        <v>8</v>
      </c>
      <c r="AW12" s="2">
        <v>0</v>
      </c>
      <c r="AY12" s="2">
        <v>9</v>
      </c>
      <c r="AZ12" s="2" t="s">
        <v>8</v>
      </c>
    </row>
    <row r="13" spans="2:53" x14ac:dyDescent="0.25">
      <c r="B13" s="2" t="s">
        <v>9</v>
      </c>
      <c r="C13" s="2">
        <f t="shared" si="0"/>
        <v>125900640</v>
      </c>
      <c r="D13" s="2">
        <f>SUM(C11:C13)</f>
        <v>283162388</v>
      </c>
      <c r="E13" s="1">
        <f>D13/D$53*100</f>
        <v>0.30933285589674253</v>
      </c>
      <c r="G13" s="2">
        <v>16</v>
      </c>
      <c r="H13" s="6" t="s">
        <v>9</v>
      </c>
      <c r="I13" s="6">
        <v>0</v>
      </c>
      <c r="J13" s="6"/>
      <c r="K13" s="6">
        <v>16</v>
      </c>
      <c r="L13" s="6" t="s">
        <v>9</v>
      </c>
      <c r="M13" s="6">
        <v>0</v>
      </c>
      <c r="N13" s="3"/>
      <c r="O13" s="2">
        <v>16</v>
      </c>
      <c r="P13" s="2" t="s">
        <v>9</v>
      </c>
      <c r="Q13" s="2">
        <v>1811520</v>
      </c>
      <c r="S13" s="2">
        <v>16</v>
      </c>
      <c r="T13" s="2" t="s">
        <v>9</v>
      </c>
      <c r="U13" s="4">
        <v>1811520</v>
      </c>
      <c r="W13" s="2">
        <v>16</v>
      </c>
      <c r="X13" s="2" t="s">
        <v>9</v>
      </c>
      <c r="Y13" s="8">
        <v>0</v>
      </c>
      <c r="AA13" s="2">
        <v>16</v>
      </c>
      <c r="AB13" s="2" t="s">
        <v>9</v>
      </c>
      <c r="AC13" s="4">
        <v>45288000</v>
      </c>
      <c r="AE13" s="2">
        <v>16</v>
      </c>
      <c r="AF13" s="2" t="s">
        <v>9</v>
      </c>
      <c r="AG13" s="2">
        <v>45288000</v>
      </c>
      <c r="AI13" s="2">
        <v>11</v>
      </c>
      <c r="AJ13" s="2" t="s">
        <v>9</v>
      </c>
      <c r="AK13" s="2">
        <v>1811520</v>
      </c>
      <c r="AM13" s="2">
        <v>11</v>
      </c>
      <c r="AN13" s="2" t="s">
        <v>9</v>
      </c>
      <c r="AO13" s="2">
        <v>905760</v>
      </c>
      <c r="AQ13" s="2">
        <v>11</v>
      </c>
      <c r="AR13" s="2" t="s">
        <v>9</v>
      </c>
      <c r="AS13" s="2">
        <v>28984320</v>
      </c>
      <c r="AU13" s="2">
        <v>11</v>
      </c>
      <c r="AV13" s="2" t="s">
        <v>9</v>
      </c>
      <c r="AW13" s="2">
        <v>0</v>
      </c>
      <c r="AY13" s="2">
        <v>11</v>
      </c>
      <c r="AZ13" s="2" t="s">
        <v>9</v>
      </c>
    </row>
    <row r="14" spans="2:53" x14ac:dyDescent="0.25">
      <c r="B14" s="2" t="s">
        <v>10</v>
      </c>
      <c r="C14" s="2">
        <f t="shared" si="0"/>
        <v>15588342221</v>
      </c>
      <c r="G14" s="2">
        <v>18</v>
      </c>
      <c r="H14" s="6" t="s">
        <v>10</v>
      </c>
      <c r="I14" s="6">
        <v>338869125</v>
      </c>
      <c r="J14" s="6"/>
      <c r="K14" s="6">
        <v>18</v>
      </c>
      <c r="L14" s="6" t="s">
        <v>10</v>
      </c>
      <c r="M14" s="6">
        <v>247213095</v>
      </c>
      <c r="N14" s="3"/>
      <c r="O14" s="2">
        <v>18</v>
      </c>
      <c r="P14" s="2" t="s">
        <v>10</v>
      </c>
      <c r="Q14" s="2">
        <v>2073233580</v>
      </c>
      <c r="S14" s="2">
        <v>18</v>
      </c>
      <c r="T14" s="2" t="s">
        <v>10</v>
      </c>
      <c r="U14" s="4">
        <v>2079365498</v>
      </c>
      <c r="W14" s="2">
        <v>18</v>
      </c>
      <c r="X14" s="2" t="s">
        <v>10</v>
      </c>
      <c r="Y14" s="8">
        <v>675156390</v>
      </c>
      <c r="AA14" s="2">
        <v>18</v>
      </c>
      <c r="AB14" s="2" t="s">
        <v>10</v>
      </c>
      <c r="AC14" s="4">
        <v>1157318745</v>
      </c>
      <c r="AE14" s="2">
        <v>18</v>
      </c>
      <c r="AF14" s="2" t="s">
        <v>10</v>
      </c>
      <c r="AG14" s="4">
        <v>1796329095</v>
      </c>
      <c r="AI14" s="2">
        <v>13</v>
      </c>
      <c r="AJ14" s="2" t="s">
        <v>10</v>
      </c>
      <c r="AK14" s="2">
        <v>2831009490</v>
      </c>
      <c r="AM14" s="2">
        <v>13</v>
      </c>
      <c r="AN14" s="2" t="s">
        <v>10</v>
      </c>
      <c r="AO14" s="2">
        <v>2073233580</v>
      </c>
      <c r="AQ14" s="2">
        <v>13</v>
      </c>
      <c r="AR14" s="2" t="s">
        <v>10</v>
      </c>
      <c r="AS14" s="2">
        <v>2069360790</v>
      </c>
      <c r="AU14" s="2">
        <v>13</v>
      </c>
      <c r="AV14" s="2" t="s">
        <v>10</v>
      </c>
      <c r="AW14" s="4">
        <v>247252833</v>
      </c>
      <c r="AY14" s="2">
        <v>13</v>
      </c>
      <c r="AZ14" s="2" t="s">
        <v>10</v>
      </c>
      <c r="BA14" s="2">
        <v>0</v>
      </c>
    </row>
    <row r="15" spans="2:53" x14ac:dyDescent="0.25">
      <c r="B15" s="2" t="s">
        <v>11</v>
      </c>
      <c r="C15" s="2">
        <f t="shared" si="0"/>
        <v>36261806535</v>
      </c>
      <c r="G15" s="2">
        <v>19</v>
      </c>
      <c r="H15" s="6" t="s">
        <v>11</v>
      </c>
      <c r="I15" s="6">
        <v>652272075</v>
      </c>
      <c r="J15" s="6"/>
      <c r="K15" s="6">
        <v>19</v>
      </c>
      <c r="L15" s="6" t="s">
        <v>11</v>
      </c>
      <c r="M15" s="6">
        <v>2389391550</v>
      </c>
      <c r="N15" s="3"/>
      <c r="O15" s="2">
        <v>19</v>
      </c>
      <c r="P15" s="2" t="s">
        <v>11</v>
      </c>
      <c r="Q15" s="2">
        <v>3871713300</v>
      </c>
      <c r="S15" s="2">
        <v>19</v>
      </c>
      <c r="T15" s="2" t="s">
        <v>11</v>
      </c>
      <c r="U15" s="4">
        <v>3757965525</v>
      </c>
      <c r="W15" s="2">
        <v>19</v>
      </c>
      <c r="X15" s="2" t="s">
        <v>11</v>
      </c>
      <c r="Y15" s="8">
        <v>2159593800</v>
      </c>
      <c r="AA15" s="2">
        <v>19</v>
      </c>
      <c r="AB15" s="2" t="s">
        <v>11</v>
      </c>
      <c r="AC15" s="4">
        <v>2746209375</v>
      </c>
      <c r="AE15" s="2">
        <v>19</v>
      </c>
      <c r="AF15" s="2" t="s">
        <v>11</v>
      </c>
      <c r="AG15" s="4">
        <v>3731309400</v>
      </c>
      <c r="AI15" s="2">
        <v>14</v>
      </c>
      <c r="AJ15" s="2" t="s">
        <v>11</v>
      </c>
      <c r="AK15" s="2">
        <v>5338883550</v>
      </c>
      <c r="AM15" s="2">
        <v>14</v>
      </c>
      <c r="AN15" s="2" t="s">
        <v>11</v>
      </c>
      <c r="AO15" s="2">
        <v>5881472250</v>
      </c>
      <c r="AQ15" s="2">
        <v>14</v>
      </c>
      <c r="AR15" s="2" t="s">
        <v>11</v>
      </c>
      <c r="AS15" s="2">
        <v>4292419950</v>
      </c>
      <c r="AU15" s="2">
        <v>14</v>
      </c>
      <c r="AV15" s="2" t="s">
        <v>11</v>
      </c>
      <c r="AW15" s="4">
        <v>1289926560</v>
      </c>
      <c r="AY15" s="2">
        <v>14</v>
      </c>
      <c r="AZ15" s="2" t="s">
        <v>11</v>
      </c>
      <c r="BA15" s="2">
        <v>150649200</v>
      </c>
    </row>
    <row r="16" spans="2:53" x14ac:dyDescent="0.25">
      <c r="B16" s="2" t="s">
        <v>12</v>
      </c>
      <c r="C16" s="2">
        <f t="shared" si="0"/>
        <v>10360201096</v>
      </c>
      <c r="G16" s="2">
        <v>20</v>
      </c>
      <c r="H16" s="6" t="s">
        <v>12</v>
      </c>
      <c r="I16" s="6">
        <v>278630258</v>
      </c>
      <c r="J16" s="6"/>
      <c r="K16" s="6">
        <v>20</v>
      </c>
      <c r="L16" s="6" t="s">
        <v>12</v>
      </c>
      <c r="M16" s="6">
        <v>657207135</v>
      </c>
      <c r="N16" s="3"/>
      <c r="O16" s="2">
        <v>20</v>
      </c>
      <c r="P16" s="2" t="s">
        <v>12</v>
      </c>
      <c r="Q16" s="2">
        <v>607233825</v>
      </c>
      <c r="S16" s="2">
        <v>20</v>
      </c>
      <c r="T16" s="2" t="s">
        <v>12</v>
      </c>
      <c r="U16" s="4">
        <v>1595949953</v>
      </c>
      <c r="W16" s="2">
        <v>20</v>
      </c>
      <c r="X16" s="2" t="s">
        <v>12</v>
      </c>
      <c r="Y16" s="8">
        <v>606652740</v>
      </c>
      <c r="AA16" s="2">
        <v>20</v>
      </c>
      <c r="AB16" s="2" t="s">
        <v>12</v>
      </c>
      <c r="AC16" s="4">
        <v>739140120</v>
      </c>
      <c r="AE16" s="2">
        <v>20</v>
      </c>
      <c r="AF16" s="2" t="s">
        <v>12</v>
      </c>
      <c r="AG16" s="4">
        <v>850708440</v>
      </c>
      <c r="AI16" s="2">
        <v>15</v>
      </c>
      <c r="AJ16" s="2" t="s">
        <v>12</v>
      </c>
      <c r="AK16" s="2">
        <v>1617159555</v>
      </c>
      <c r="AM16" s="2">
        <v>15</v>
      </c>
      <c r="AN16" s="2" t="s">
        <v>12</v>
      </c>
      <c r="AO16" s="2">
        <v>1812985200</v>
      </c>
      <c r="AQ16" s="2">
        <v>15</v>
      </c>
      <c r="AR16" s="2" t="s">
        <v>12</v>
      </c>
      <c r="AS16" s="2">
        <v>1316738610</v>
      </c>
      <c r="AU16" s="2">
        <v>15</v>
      </c>
      <c r="AV16" s="2" t="s">
        <v>12</v>
      </c>
      <c r="AW16" s="4">
        <v>277795260</v>
      </c>
      <c r="AY16" s="2">
        <v>15</v>
      </c>
      <c r="AZ16" s="2" t="s">
        <v>12</v>
      </c>
      <c r="BA16" s="2">
        <v>0</v>
      </c>
    </row>
    <row r="17" spans="2:53" x14ac:dyDescent="0.25">
      <c r="B17" s="2" t="s">
        <v>13</v>
      </c>
      <c r="C17" s="2">
        <f t="shared" si="0"/>
        <v>18656594176</v>
      </c>
      <c r="D17" s="2">
        <f>SUM(C14:C17)</f>
        <v>80866944028</v>
      </c>
      <c r="E17" s="1">
        <f>D17/D$53*100</f>
        <v>88.340838345462984</v>
      </c>
      <c r="G17" s="2">
        <v>21</v>
      </c>
      <c r="H17" s="6" t="s">
        <v>13</v>
      </c>
      <c r="I17" s="6">
        <v>239413680</v>
      </c>
      <c r="J17" s="6"/>
      <c r="K17" s="6">
        <v>21</v>
      </c>
      <c r="L17" s="6" t="s">
        <v>13</v>
      </c>
      <c r="M17" s="6">
        <v>609870075</v>
      </c>
      <c r="N17" s="3"/>
      <c r="O17" s="2">
        <v>21</v>
      </c>
      <c r="P17" s="2" t="s">
        <v>13</v>
      </c>
      <c r="Q17" s="2">
        <v>2312065065</v>
      </c>
      <c r="S17" s="2">
        <v>21</v>
      </c>
      <c r="T17" s="2" t="s">
        <v>13</v>
      </c>
      <c r="U17" s="4">
        <v>1658438513</v>
      </c>
      <c r="W17" s="2">
        <v>21</v>
      </c>
      <c r="X17" s="2" t="s">
        <v>13</v>
      </c>
      <c r="Y17" s="8">
        <v>1253294340</v>
      </c>
      <c r="AA17" s="2">
        <v>21</v>
      </c>
      <c r="AB17" s="2" t="s">
        <v>13</v>
      </c>
      <c r="AC17" s="4">
        <v>1717385063</v>
      </c>
      <c r="AE17" s="2">
        <v>21</v>
      </c>
      <c r="AF17" s="2" t="s">
        <v>13</v>
      </c>
      <c r="AG17" s="4">
        <v>2531527605</v>
      </c>
      <c r="AI17" s="2">
        <v>16</v>
      </c>
      <c r="AJ17" s="2" t="s">
        <v>13</v>
      </c>
      <c r="AK17" s="2">
        <v>1545306480</v>
      </c>
      <c r="AM17" s="2">
        <v>16</v>
      </c>
      <c r="AN17" s="2" t="s">
        <v>13</v>
      </c>
      <c r="AO17" s="2">
        <v>3436583865</v>
      </c>
      <c r="AQ17" s="2">
        <v>16</v>
      </c>
      <c r="AR17" s="2" t="s">
        <v>13</v>
      </c>
      <c r="AS17" s="2">
        <v>2228684085</v>
      </c>
      <c r="AU17" s="2">
        <v>16</v>
      </c>
      <c r="AV17" s="2" t="s">
        <v>13</v>
      </c>
      <c r="AW17" s="4">
        <v>1030785405</v>
      </c>
      <c r="AY17" s="2">
        <v>16</v>
      </c>
      <c r="AZ17" s="2" t="s">
        <v>13</v>
      </c>
      <c r="BA17" s="2">
        <v>93240000</v>
      </c>
    </row>
    <row r="18" spans="2:53" x14ac:dyDescent="0.25">
      <c r="B18" s="2" t="s">
        <v>14</v>
      </c>
      <c r="C18" s="2">
        <f t="shared" si="0"/>
        <v>0</v>
      </c>
      <c r="D18" s="2">
        <f>C18</f>
        <v>0</v>
      </c>
      <c r="E18" s="1">
        <f>D18/D$53*100</f>
        <v>0</v>
      </c>
      <c r="G18" s="2">
        <v>22</v>
      </c>
      <c r="H18" s="6" t="s">
        <v>14</v>
      </c>
      <c r="I18" s="6"/>
      <c r="J18" s="6"/>
      <c r="K18" s="6">
        <v>22</v>
      </c>
      <c r="L18" s="6" t="s">
        <v>14</v>
      </c>
      <c r="M18" s="6"/>
      <c r="N18" s="3"/>
      <c r="O18" s="2">
        <v>22</v>
      </c>
      <c r="P18" s="2" t="s">
        <v>14</v>
      </c>
      <c r="S18" s="2">
        <v>22</v>
      </c>
      <c r="T18" s="2" t="s">
        <v>14</v>
      </c>
      <c r="U18" s="4"/>
      <c r="W18" s="2">
        <v>22</v>
      </c>
      <c r="X18" s="2" t="s">
        <v>14</v>
      </c>
      <c r="Y18" s="8"/>
      <c r="AA18" s="2">
        <v>22</v>
      </c>
      <c r="AB18" s="2" t="s">
        <v>14</v>
      </c>
      <c r="AC18" s="4">
        <v>0</v>
      </c>
      <c r="AE18" s="2">
        <v>22</v>
      </c>
      <c r="AF18" s="2" t="s">
        <v>14</v>
      </c>
      <c r="AG18" s="4">
        <v>0</v>
      </c>
      <c r="AI18" s="2">
        <v>17</v>
      </c>
      <c r="AJ18" s="2" t="s">
        <v>14</v>
      </c>
      <c r="AM18" s="2">
        <v>17</v>
      </c>
      <c r="AN18" s="2" t="s">
        <v>14</v>
      </c>
      <c r="AQ18" s="2">
        <v>17</v>
      </c>
      <c r="AR18" s="2" t="s">
        <v>14</v>
      </c>
      <c r="AS18" s="2">
        <v>0</v>
      </c>
      <c r="AU18" s="2">
        <v>17</v>
      </c>
      <c r="AV18" s="2" t="s">
        <v>14</v>
      </c>
      <c r="AY18" s="2">
        <v>17</v>
      </c>
      <c r="AZ18" s="2" t="s">
        <v>14</v>
      </c>
    </row>
    <row r="19" spans="2:53" x14ac:dyDescent="0.25">
      <c r="C19" s="2">
        <f t="shared" si="0"/>
        <v>0</v>
      </c>
      <c r="H19" s="6"/>
      <c r="I19" s="6"/>
      <c r="J19" s="6"/>
      <c r="K19" s="6"/>
      <c r="L19" s="6"/>
      <c r="M19" s="6"/>
      <c r="N19" s="3"/>
      <c r="Y19" s="8"/>
    </row>
    <row r="20" spans="2:53" x14ac:dyDescent="0.25">
      <c r="B20" s="2" t="s">
        <v>62</v>
      </c>
      <c r="C20" s="2">
        <f t="shared" si="0"/>
        <v>0</v>
      </c>
      <c r="G20" s="2">
        <v>23</v>
      </c>
      <c r="H20" s="6" t="s">
        <v>15</v>
      </c>
      <c r="I20" s="6">
        <v>0</v>
      </c>
      <c r="J20" s="6"/>
      <c r="K20" s="6">
        <v>23</v>
      </c>
      <c r="L20" s="6" t="s">
        <v>15</v>
      </c>
      <c r="M20" s="6">
        <v>0</v>
      </c>
      <c r="N20" s="3"/>
      <c r="O20" s="2">
        <v>23</v>
      </c>
      <c r="P20" s="2" t="s">
        <v>15</v>
      </c>
      <c r="Q20" s="2">
        <v>0</v>
      </c>
      <c r="S20" s="2">
        <v>23</v>
      </c>
      <c r="T20" s="2" t="s">
        <v>15</v>
      </c>
      <c r="U20" s="2">
        <v>0</v>
      </c>
      <c r="W20" s="2">
        <v>23</v>
      </c>
      <c r="X20" s="2" t="s">
        <v>15</v>
      </c>
      <c r="Y20" s="7">
        <v>0</v>
      </c>
      <c r="AA20" s="2">
        <v>23</v>
      </c>
      <c r="AB20" s="2" t="s">
        <v>15</v>
      </c>
      <c r="AC20" s="4">
        <v>0</v>
      </c>
      <c r="AE20" s="2">
        <v>23</v>
      </c>
      <c r="AF20" s="2" t="s">
        <v>15</v>
      </c>
      <c r="AG20" s="4">
        <v>0</v>
      </c>
      <c r="AI20" s="2">
        <v>18</v>
      </c>
      <c r="AJ20" s="2" t="s">
        <v>15</v>
      </c>
      <c r="AK20" s="2">
        <v>0</v>
      </c>
      <c r="AM20" s="2">
        <v>18</v>
      </c>
      <c r="AN20" s="2" t="s">
        <v>15</v>
      </c>
      <c r="AO20" s="2">
        <v>0</v>
      </c>
      <c r="AQ20" s="2">
        <v>18</v>
      </c>
      <c r="AR20" s="2" t="s">
        <v>15</v>
      </c>
      <c r="AS20" s="2">
        <v>0</v>
      </c>
      <c r="AU20" s="2">
        <v>18</v>
      </c>
      <c r="AV20" s="2" t="s">
        <v>15</v>
      </c>
      <c r="AW20" s="2">
        <v>0</v>
      </c>
      <c r="AY20" s="2">
        <v>18</v>
      </c>
      <c r="AZ20" s="2" t="s">
        <v>15</v>
      </c>
    </row>
    <row r="21" spans="2:53" x14ac:dyDescent="0.25">
      <c r="B21" s="2" t="s">
        <v>16</v>
      </c>
      <c r="C21" s="2">
        <f t="shared" si="0"/>
        <v>0</v>
      </c>
      <c r="D21" s="2">
        <f>SUM(C20:C21)</f>
        <v>0</v>
      </c>
      <c r="E21" s="1">
        <f>D21/D$53*100</f>
        <v>0</v>
      </c>
      <c r="G21" s="2">
        <v>24</v>
      </c>
      <c r="H21" s="6" t="s">
        <v>16</v>
      </c>
      <c r="I21" s="6">
        <v>0</v>
      </c>
      <c r="J21" s="6"/>
      <c r="K21" s="6">
        <v>24</v>
      </c>
      <c r="L21" s="6" t="s">
        <v>16</v>
      </c>
      <c r="M21" s="6">
        <v>0</v>
      </c>
      <c r="N21" s="3"/>
      <c r="O21" s="2">
        <v>24</v>
      </c>
      <c r="P21" s="2" t="s">
        <v>16</v>
      </c>
      <c r="Q21" s="2">
        <v>0</v>
      </c>
      <c r="S21" s="2">
        <v>24</v>
      </c>
      <c r="T21" s="2" t="s">
        <v>16</v>
      </c>
      <c r="U21" s="2">
        <v>0</v>
      </c>
      <c r="W21" s="2">
        <v>24</v>
      </c>
      <c r="X21" s="2" t="s">
        <v>16</v>
      </c>
      <c r="Y21" s="7">
        <v>0</v>
      </c>
      <c r="AA21" s="2">
        <v>24</v>
      </c>
      <c r="AB21" s="2" t="s">
        <v>16</v>
      </c>
      <c r="AC21" s="4">
        <v>0</v>
      </c>
      <c r="AE21" s="2">
        <v>24</v>
      </c>
      <c r="AF21" s="2" t="s">
        <v>16</v>
      </c>
      <c r="AG21" s="4">
        <v>0</v>
      </c>
      <c r="AI21" s="2">
        <v>19</v>
      </c>
      <c r="AJ21" s="2" t="s">
        <v>16</v>
      </c>
      <c r="AK21" s="2">
        <v>0</v>
      </c>
      <c r="AM21" s="2">
        <v>19</v>
      </c>
      <c r="AN21" s="2" t="s">
        <v>16</v>
      </c>
      <c r="AO21" s="2">
        <v>0</v>
      </c>
      <c r="AQ21" s="2">
        <v>19</v>
      </c>
      <c r="AR21" s="2" t="s">
        <v>16</v>
      </c>
      <c r="AS21" s="2">
        <v>0</v>
      </c>
      <c r="AU21" s="2">
        <v>19</v>
      </c>
      <c r="AV21" s="2" t="s">
        <v>16</v>
      </c>
      <c r="AW21" s="2">
        <v>0</v>
      </c>
      <c r="AY21" s="2">
        <v>19</v>
      </c>
      <c r="AZ21" s="2" t="s">
        <v>16</v>
      </c>
    </row>
    <row r="22" spans="2:53" x14ac:dyDescent="0.25">
      <c r="B22" s="2" t="s">
        <v>17</v>
      </c>
      <c r="C22" s="2">
        <f t="shared" si="0"/>
        <v>0</v>
      </c>
      <c r="G22" s="2">
        <v>26</v>
      </c>
      <c r="H22" s="6" t="s">
        <v>17</v>
      </c>
      <c r="I22" s="6">
        <v>0</v>
      </c>
      <c r="J22" s="6"/>
      <c r="K22" s="6">
        <v>26</v>
      </c>
      <c r="L22" s="6" t="s">
        <v>17</v>
      </c>
      <c r="M22" s="6">
        <v>0</v>
      </c>
      <c r="N22" s="3"/>
      <c r="O22" s="2">
        <v>26</v>
      </c>
      <c r="P22" s="2" t="s">
        <v>17</v>
      </c>
      <c r="Q22" s="2">
        <v>0</v>
      </c>
      <c r="S22" s="2">
        <v>26</v>
      </c>
      <c r="T22" s="2" t="s">
        <v>17</v>
      </c>
      <c r="U22" s="2">
        <v>0</v>
      </c>
      <c r="W22" s="2">
        <v>26</v>
      </c>
      <c r="X22" s="2" t="s">
        <v>17</v>
      </c>
      <c r="Y22" s="7">
        <v>0</v>
      </c>
      <c r="AA22" s="2">
        <v>26</v>
      </c>
      <c r="AB22" s="2" t="s">
        <v>17</v>
      </c>
      <c r="AC22" s="4">
        <v>0</v>
      </c>
      <c r="AE22" s="2">
        <v>26</v>
      </c>
      <c r="AF22" s="2" t="s">
        <v>17</v>
      </c>
      <c r="AG22" s="4">
        <v>0</v>
      </c>
      <c r="AI22" s="2">
        <v>20</v>
      </c>
      <c r="AJ22" s="2" t="s">
        <v>17</v>
      </c>
      <c r="AK22" s="2">
        <v>0</v>
      </c>
      <c r="AM22" s="2">
        <v>20</v>
      </c>
      <c r="AN22" s="2" t="s">
        <v>17</v>
      </c>
      <c r="AO22" s="2">
        <v>0</v>
      </c>
      <c r="AQ22" s="2">
        <v>20</v>
      </c>
      <c r="AR22" s="2" t="s">
        <v>17</v>
      </c>
      <c r="AS22" s="2">
        <v>0</v>
      </c>
      <c r="AU22" s="2">
        <v>20</v>
      </c>
      <c r="AV22" s="2" t="s">
        <v>17</v>
      </c>
      <c r="AW22" s="2">
        <v>0</v>
      </c>
      <c r="AY22" s="2">
        <v>20</v>
      </c>
      <c r="AZ22" s="2" t="s">
        <v>17</v>
      </c>
    </row>
    <row r="23" spans="2:53" x14ac:dyDescent="0.25">
      <c r="B23" s="2" t="s">
        <v>18</v>
      </c>
      <c r="C23" s="2">
        <f t="shared" si="0"/>
        <v>82259880</v>
      </c>
      <c r="D23" s="2">
        <f>SUM(C22:C23)</f>
        <v>82259880</v>
      </c>
      <c r="E23" s="1">
        <f>D23/D$53*100</f>
        <v>8.9862512411511844E-2</v>
      </c>
      <c r="G23" s="2">
        <v>28</v>
      </c>
      <c r="H23" s="6" t="s">
        <v>18</v>
      </c>
      <c r="I23" s="6">
        <v>0</v>
      </c>
      <c r="J23" s="6"/>
      <c r="K23" s="6">
        <v>28</v>
      </c>
      <c r="L23" s="6" t="s">
        <v>18</v>
      </c>
      <c r="M23" s="6">
        <v>0</v>
      </c>
      <c r="N23" s="3"/>
      <c r="O23" s="2">
        <v>28</v>
      </c>
      <c r="P23" s="2" t="s">
        <v>18</v>
      </c>
      <c r="Q23" s="2">
        <v>8480400</v>
      </c>
      <c r="S23" s="2">
        <v>28</v>
      </c>
      <c r="T23" s="2" t="s">
        <v>18</v>
      </c>
      <c r="U23" s="2">
        <v>0</v>
      </c>
      <c r="W23" s="2">
        <v>28</v>
      </c>
      <c r="X23" s="2" t="s">
        <v>18</v>
      </c>
      <c r="Y23" s="7">
        <v>44098080</v>
      </c>
      <c r="AA23" s="2">
        <v>28</v>
      </c>
      <c r="AB23" s="2" t="s">
        <v>18</v>
      </c>
      <c r="AC23" s="4">
        <v>0</v>
      </c>
      <c r="AE23" s="2">
        <v>28</v>
      </c>
      <c r="AF23" s="2" t="s">
        <v>18</v>
      </c>
      <c r="AG23" s="4">
        <v>21201000</v>
      </c>
      <c r="AI23" s="2">
        <v>21</v>
      </c>
      <c r="AJ23" s="2" t="s">
        <v>18</v>
      </c>
      <c r="AK23" s="2">
        <v>8480400</v>
      </c>
      <c r="AM23" s="2">
        <v>21</v>
      </c>
      <c r="AN23" s="2" t="s">
        <v>18</v>
      </c>
      <c r="AO23" s="2">
        <v>0</v>
      </c>
      <c r="AQ23" s="2">
        <v>21</v>
      </c>
      <c r="AR23" s="2" t="s">
        <v>18</v>
      </c>
      <c r="AS23" s="2">
        <v>0</v>
      </c>
      <c r="AU23" s="2">
        <v>21</v>
      </c>
      <c r="AV23" s="2" t="s">
        <v>18</v>
      </c>
      <c r="AW23" s="2">
        <v>0</v>
      </c>
      <c r="AY23" s="2">
        <v>21</v>
      </c>
      <c r="AZ23" s="2" t="s">
        <v>18</v>
      </c>
    </row>
    <row r="24" spans="2:53" x14ac:dyDescent="0.25">
      <c r="B24" s="2" t="s">
        <v>19</v>
      </c>
      <c r="C24" s="2">
        <f t="shared" si="0"/>
        <v>357554589</v>
      </c>
      <c r="G24" s="2">
        <v>30</v>
      </c>
      <c r="H24" s="6" t="s">
        <v>19</v>
      </c>
      <c r="I24" s="6">
        <v>0</v>
      </c>
      <c r="J24" s="6"/>
      <c r="K24" s="6">
        <v>30</v>
      </c>
      <c r="L24" s="6" t="s">
        <v>19</v>
      </c>
      <c r="M24" s="6">
        <v>0</v>
      </c>
      <c r="N24" s="3"/>
      <c r="O24" s="2">
        <v>30</v>
      </c>
      <c r="P24" s="2" t="s">
        <v>19</v>
      </c>
      <c r="Q24" s="2">
        <v>0</v>
      </c>
      <c r="S24" s="2">
        <v>30</v>
      </c>
      <c r="T24" s="2" t="s">
        <v>19</v>
      </c>
      <c r="U24" s="2">
        <v>0</v>
      </c>
      <c r="W24" s="2">
        <v>30</v>
      </c>
      <c r="X24" s="2" t="s">
        <v>19</v>
      </c>
      <c r="Y24" s="7">
        <v>65009925</v>
      </c>
      <c r="AA24" s="2">
        <v>30</v>
      </c>
      <c r="AB24" s="2" t="s">
        <v>19</v>
      </c>
      <c r="AC24" s="4">
        <v>0</v>
      </c>
      <c r="AE24" s="2">
        <v>30</v>
      </c>
      <c r="AF24" s="2" t="s">
        <v>19</v>
      </c>
      <c r="AG24" s="4">
        <v>32504963</v>
      </c>
      <c r="AI24" s="2">
        <v>22</v>
      </c>
      <c r="AJ24" s="2" t="s">
        <v>19</v>
      </c>
      <c r="AK24" s="2">
        <v>32504963</v>
      </c>
      <c r="AM24" s="2">
        <v>22</v>
      </c>
      <c r="AN24" s="2" t="s">
        <v>19</v>
      </c>
      <c r="AO24" s="2">
        <v>0</v>
      </c>
      <c r="AQ24" s="2">
        <v>22</v>
      </c>
      <c r="AR24" s="2" t="s">
        <v>19</v>
      </c>
      <c r="AS24" s="2">
        <v>227534738</v>
      </c>
      <c r="AU24" s="2">
        <v>22</v>
      </c>
      <c r="AV24" s="2" t="s">
        <v>19</v>
      </c>
      <c r="AW24" s="2">
        <v>0</v>
      </c>
      <c r="AY24" s="2">
        <v>22</v>
      </c>
      <c r="AZ24" s="2" t="s">
        <v>19</v>
      </c>
    </row>
    <row r="25" spans="2:53" x14ac:dyDescent="0.25">
      <c r="B25" s="2" t="s">
        <v>20</v>
      </c>
      <c r="C25" s="2">
        <f t="shared" si="0"/>
        <v>456493051</v>
      </c>
      <c r="D25" s="2">
        <f>SUM(C24:C25)</f>
        <v>814047640</v>
      </c>
      <c r="E25" s="1">
        <f>D25/D$53*100</f>
        <v>0.8892836477887146</v>
      </c>
      <c r="G25" s="2">
        <v>31</v>
      </c>
      <c r="H25" s="6" t="s">
        <v>20</v>
      </c>
      <c r="I25" s="6">
        <v>0</v>
      </c>
      <c r="J25" s="6"/>
      <c r="K25" s="6">
        <v>31</v>
      </c>
      <c r="L25" s="6" t="s">
        <v>20</v>
      </c>
      <c r="M25" s="6">
        <v>0</v>
      </c>
      <c r="N25" s="3"/>
      <c r="O25" s="2">
        <v>31</v>
      </c>
      <c r="P25" s="2" t="s">
        <v>20</v>
      </c>
      <c r="Q25" s="2">
        <v>0</v>
      </c>
      <c r="S25" s="2">
        <v>31</v>
      </c>
      <c r="T25" s="2" t="s">
        <v>20</v>
      </c>
      <c r="U25" s="2">
        <v>0</v>
      </c>
      <c r="W25" s="2">
        <v>31</v>
      </c>
      <c r="X25" s="2" t="s">
        <v>20</v>
      </c>
      <c r="Y25" s="7">
        <v>0</v>
      </c>
      <c r="AA25" s="2">
        <v>31</v>
      </c>
      <c r="AB25" s="2" t="s">
        <v>20</v>
      </c>
      <c r="AC25" s="4">
        <v>0</v>
      </c>
      <c r="AE25" s="2">
        <v>31</v>
      </c>
      <c r="AF25" s="2" t="s">
        <v>20</v>
      </c>
      <c r="AG25" s="4">
        <v>76082175</v>
      </c>
      <c r="AI25" s="2">
        <v>23</v>
      </c>
      <c r="AJ25" s="2" t="s">
        <v>20</v>
      </c>
      <c r="AK25" s="2">
        <v>114123263</v>
      </c>
      <c r="AM25" s="2">
        <v>23</v>
      </c>
      <c r="AN25" s="2" t="s">
        <v>20</v>
      </c>
      <c r="AO25" s="2">
        <v>0</v>
      </c>
      <c r="AQ25" s="2">
        <v>23</v>
      </c>
      <c r="AR25" s="2" t="s">
        <v>20</v>
      </c>
      <c r="AS25" s="2">
        <v>266287613</v>
      </c>
      <c r="AU25" s="2">
        <v>23</v>
      </c>
      <c r="AV25" s="2" t="s">
        <v>20</v>
      </c>
      <c r="AW25" s="4">
        <v>0</v>
      </c>
      <c r="AY25" s="2">
        <v>23</v>
      </c>
      <c r="AZ25" s="2" t="s">
        <v>20</v>
      </c>
    </row>
    <row r="26" spans="2:53" x14ac:dyDescent="0.25">
      <c r="C26" s="2">
        <f t="shared" si="0"/>
        <v>0</v>
      </c>
      <c r="H26" s="6"/>
      <c r="I26" s="6"/>
      <c r="J26" s="6"/>
      <c r="K26" s="6"/>
      <c r="L26" s="6"/>
      <c r="M26" s="6"/>
      <c r="N26" s="3"/>
      <c r="Y26" s="8"/>
      <c r="AA26" s="2" t="s">
        <v>39</v>
      </c>
      <c r="AE26" s="2" t="s">
        <v>39</v>
      </c>
    </row>
    <row r="27" spans="2:53" x14ac:dyDescent="0.25">
      <c r="B27" s="2" t="s">
        <v>21</v>
      </c>
      <c r="C27" s="2">
        <f t="shared" si="0"/>
        <v>176623200</v>
      </c>
      <c r="D27" s="2">
        <f>C27</f>
        <v>176623200</v>
      </c>
      <c r="E27" s="1">
        <f>D27/D$53*100</f>
        <v>0.19294709039401636</v>
      </c>
      <c r="G27" s="2">
        <v>1</v>
      </c>
      <c r="H27" s="6" t="s">
        <v>21</v>
      </c>
      <c r="I27" s="6">
        <v>10303020</v>
      </c>
      <c r="J27" s="6"/>
      <c r="K27" s="6">
        <v>1</v>
      </c>
      <c r="L27" s="6" t="s">
        <v>21</v>
      </c>
      <c r="M27" s="6">
        <v>19134180</v>
      </c>
      <c r="N27" s="3"/>
      <c r="O27" s="2">
        <v>1</v>
      </c>
      <c r="P27" s="2" t="s">
        <v>21</v>
      </c>
      <c r="Q27" s="2">
        <v>36796500</v>
      </c>
      <c r="S27" s="2">
        <v>1</v>
      </c>
      <c r="T27" s="2" t="s">
        <v>21</v>
      </c>
      <c r="U27" s="2">
        <v>18398250</v>
      </c>
      <c r="W27" s="2">
        <v>1</v>
      </c>
      <c r="X27" s="2" t="s">
        <v>21</v>
      </c>
      <c r="Y27" s="9">
        <v>0</v>
      </c>
      <c r="AA27" s="2">
        <v>1</v>
      </c>
      <c r="AB27" s="2" t="s">
        <v>21</v>
      </c>
      <c r="AC27" s="4">
        <v>0</v>
      </c>
      <c r="AE27" s="2">
        <v>1</v>
      </c>
      <c r="AF27" s="2" t="s">
        <v>21</v>
      </c>
      <c r="AG27" s="4">
        <v>0</v>
      </c>
      <c r="AI27" s="2">
        <v>1</v>
      </c>
      <c r="AJ27" s="2" t="s">
        <v>21</v>
      </c>
      <c r="AK27" s="2">
        <v>0</v>
      </c>
      <c r="AM27" s="2">
        <v>1</v>
      </c>
      <c r="AN27" s="2" t="s">
        <v>21</v>
      </c>
      <c r="AO27" s="2">
        <v>18398250</v>
      </c>
      <c r="AQ27" s="2">
        <v>1</v>
      </c>
      <c r="AR27" s="2" t="s">
        <v>21</v>
      </c>
      <c r="AS27" s="2">
        <v>73593000</v>
      </c>
      <c r="AU27" s="2">
        <v>1</v>
      </c>
      <c r="AV27" s="2" t="s">
        <v>21</v>
      </c>
      <c r="AW27" s="2">
        <v>0</v>
      </c>
      <c r="AY27" s="2">
        <v>1</v>
      </c>
      <c r="AZ27" s="2" t="s">
        <v>21</v>
      </c>
    </row>
    <row r="28" spans="2:53" x14ac:dyDescent="0.25">
      <c r="B28" s="2" t="s">
        <v>22</v>
      </c>
      <c r="C28" s="2">
        <f t="shared" si="0"/>
        <v>128236968</v>
      </c>
      <c r="G28" s="2">
        <v>2</v>
      </c>
      <c r="H28" s="6" t="s">
        <v>22</v>
      </c>
      <c r="I28" s="6">
        <v>0</v>
      </c>
      <c r="J28" s="6"/>
      <c r="K28" s="6">
        <v>2</v>
      </c>
      <c r="L28" s="6" t="s">
        <v>22</v>
      </c>
      <c r="M28" s="6">
        <v>0</v>
      </c>
      <c r="N28" s="3"/>
      <c r="O28" s="2">
        <v>2</v>
      </c>
      <c r="P28" s="2" t="s">
        <v>22</v>
      </c>
      <c r="Q28" s="2">
        <v>0</v>
      </c>
      <c r="S28" s="2">
        <v>2</v>
      </c>
      <c r="T28" s="2" t="s">
        <v>22</v>
      </c>
      <c r="U28" s="2">
        <v>0</v>
      </c>
      <c r="W28" s="2">
        <v>2</v>
      </c>
      <c r="X28" s="2" t="s">
        <v>22</v>
      </c>
      <c r="Y28" s="9">
        <v>0</v>
      </c>
      <c r="AA28" s="2">
        <v>2</v>
      </c>
      <c r="AB28" s="2" t="s">
        <v>22</v>
      </c>
      <c r="AC28" s="4">
        <v>0</v>
      </c>
      <c r="AE28" s="2">
        <v>2</v>
      </c>
      <c r="AF28" s="2" t="s">
        <v>22</v>
      </c>
      <c r="AG28" s="4">
        <v>0</v>
      </c>
      <c r="AI28" s="2">
        <v>2</v>
      </c>
      <c r="AJ28" s="2" t="s">
        <v>22</v>
      </c>
      <c r="AK28" s="2">
        <v>0</v>
      </c>
      <c r="AM28" s="2">
        <v>2</v>
      </c>
      <c r="AN28" s="2" t="s">
        <v>22</v>
      </c>
      <c r="AO28" s="2">
        <v>0</v>
      </c>
      <c r="AQ28" s="2">
        <v>2</v>
      </c>
      <c r="AR28" s="2" t="s">
        <v>22</v>
      </c>
      <c r="AS28" s="2">
        <v>0</v>
      </c>
      <c r="AU28" s="2">
        <v>2</v>
      </c>
      <c r="AV28" s="2" t="s">
        <v>22</v>
      </c>
      <c r="AW28" s="2">
        <v>0</v>
      </c>
      <c r="AY28" s="2">
        <v>2</v>
      </c>
      <c r="AZ28" s="12" t="s">
        <v>69</v>
      </c>
      <c r="BA28" s="2">
        <v>128236968</v>
      </c>
    </row>
    <row r="29" spans="2:53" x14ac:dyDescent="0.25">
      <c r="B29" s="2" t="s">
        <v>23</v>
      </c>
      <c r="C29" s="2">
        <f t="shared" si="0"/>
        <v>3795472950</v>
      </c>
      <c r="G29" s="2">
        <v>3</v>
      </c>
      <c r="H29" s="6" t="s">
        <v>23</v>
      </c>
      <c r="I29" s="6">
        <v>184157880</v>
      </c>
      <c r="J29" s="6"/>
      <c r="K29" s="6">
        <v>3</v>
      </c>
      <c r="L29" s="6" t="s">
        <v>23</v>
      </c>
      <c r="M29" s="6">
        <v>370804380</v>
      </c>
      <c r="N29" s="3"/>
      <c r="O29" s="2">
        <v>3</v>
      </c>
      <c r="P29" s="2" t="s">
        <v>23</v>
      </c>
      <c r="Q29" s="2">
        <v>0</v>
      </c>
      <c r="S29" s="2">
        <v>3</v>
      </c>
      <c r="T29" s="2" t="s">
        <v>23</v>
      </c>
      <c r="U29" s="4">
        <v>303611640</v>
      </c>
      <c r="W29" s="2">
        <v>3</v>
      </c>
      <c r="X29" s="2" t="s">
        <v>23</v>
      </c>
      <c r="Y29" s="9">
        <v>241396140</v>
      </c>
      <c r="AA29" s="2">
        <v>3</v>
      </c>
      <c r="AB29" s="2" t="s">
        <v>23</v>
      </c>
      <c r="AC29" s="4">
        <v>359605590</v>
      </c>
      <c r="AE29" s="2">
        <v>3</v>
      </c>
      <c r="AF29" s="2" t="s">
        <v>23</v>
      </c>
      <c r="AG29" s="4">
        <v>858573900</v>
      </c>
      <c r="AI29" s="2">
        <v>3</v>
      </c>
      <c r="AJ29" s="2" t="s">
        <v>23</v>
      </c>
      <c r="AK29" s="2">
        <v>251350620</v>
      </c>
      <c r="AM29" s="2">
        <v>3</v>
      </c>
      <c r="AN29" s="2" t="s">
        <v>23</v>
      </c>
      <c r="AO29" s="2">
        <v>365827140</v>
      </c>
      <c r="AQ29" s="2">
        <v>3</v>
      </c>
      <c r="AR29" s="2" t="s">
        <v>23</v>
      </c>
      <c r="AS29" s="2">
        <v>480303660</v>
      </c>
      <c r="AU29" s="2">
        <v>3</v>
      </c>
      <c r="AV29" s="2" t="s">
        <v>23</v>
      </c>
      <c r="AW29" s="2">
        <v>0</v>
      </c>
      <c r="AY29" s="2">
        <v>3</v>
      </c>
      <c r="AZ29" s="2" t="s">
        <v>23</v>
      </c>
      <c r="BA29" s="2">
        <v>379842000</v>
      </c>
    </row>
    <row r="30" spans="2:53" x14ac:dyDescent="0.25">
      <c r="B30" s="2" t="s">
        <v>63</v>
      </c>
      <c r="C30" s="2">
        <f t="shared" si="0"/>
        <v>708251040</v>
      </c>
      <c r="D30" s="2">
        <f>SUM(C28:C30)</f>
        <v>4631960958</v>
      </c>
      <c r="E30" s="1">
        <f>D30/D$53*100</f>
        <v>5.0600566044822006</v>
      </c>
      <c r="G30" s="2">
        <v>4</v>
      </c>
      <c r="H30" s="6" t="s">
        <v>24</v>
      </c>
      <c r="I30" s="6">
        <v>70596000</v>
      </c>
      <c r="J30" s="6"/>
      <c r="K30" s="6">
        <v>4</v>
      </c>
      <c r="L30" s="6" t="s">
        <v>24</v>
      </c>
      <c r="M30" s="6">
        <v>70596000</v>
      </c>
      <c r="N30" s="3"/>
      <c r="O30" s="2">
        <v>4</v>
      </c>
      <c r="P30" s="2" t="s">
        <v>24</v>
      </c>
      <c r="Q30" s="2">
        <v>0</v>
      </c>
      <c r="S30" s="2">
        <v>4</v>
      </c>
      <c r="T30" s="2" t="s">
        <v>24</v>
      </c>
      <c r="U30" s="4">
        <v>141192000</v>
      </c>
      <c r="W30" s="2">
        <v>4</v>
      </c>
      <c r="X30" s="2" t="s">
        <v>24</v>
      </c>
      <c r="Y30" s="9">
        <v>0</v>
      </c>
      <c r="AA30" s="2">
        <v>4</v>
      </c>
      <c r="AB30" s="2" t="s">
        <v>24</v>
      </c>
      <c r="AC30" s="4">
        <v>0</v>
      </c>
      <c r="AE30" s="2">
        <v>4</v>
      </c>
      <c r="AF30" s="2" t="s">
        <v>24</v>
      </c>
      <c r="AG30" s="4">
        <v>70596000</v>
      </c>
      <c r="AI30" s="2">
        <v>4</v>
      </c>
      <c r="AJ30" s="2" t="s">
        <v>24</v>
      </c>
      <c r="AK30" s="2">
        <v>141192000</v>
      </c>
      <c r="AM30" s="2">
        <v>4</v>
      </c>
      <c r="AN30" s="2" t="s">
        <v>24</v>
      </c>
      <c r="AQ30" s="2">
        <v>4</v>
      </c>
      <c r="AR30" s="2" t="s">
        <v>24</v>
      </c>
      <c r="AS30" s="2">
        <v>141192000</v>
      </c>
      <c r="AU30" s="2">
        <v>4</v>
      </c>
      <c r="AV30" s="2" t="s">
        <v>24</v>
      </c>
      <c r="AW30" s="2">
        <v>0</v>
      </c>
      <c r="AY30" s="2">
        <v>4</v>
      </c>
      <c r="AZ30" s="2" t="s">
        <v>24</v>
      </c>
      <c r="BA30" s="2">
        <v>72887040</v>
      </c>
    </row>
    <row r="31" spans="2:53" x14ac:dyDescent="0.25">
      <c r="C31" s="2">
        <f t="shared" si="0"/>
        <v>0</v>
      </c>
      <c r="H31" s="6"/>
      <c r="I31" s="6"/>
      <c r="J31" s="6"/>
      <c r="K31" s="6"/>
      <c r="L31" s="6"/>
      <c r="M31" s="6"/>
      <c r="N31" s="3"/>
      <c r="Y31" s="8"/>
    </row>
    <row r="32" spans="2:53" x14ac:dyDescent="0.25">
      <c r="B32" s="2" t="s">
        <v>67</v>
      </c>
      <c r="C32" s="2">
        <f t="shared" si="0"/>
        <v>930600000</v>
      </c>
      <c r="D32" s="2">
        <f>C32</f>
        <v>930600000</v>
      </c>
      <c r="E32" s="1">
        <f>D32/D$53*100</f>
        <v>1.0166080238647677</v>
      </c>
      <c r="H32" s="6"/>
      <c r="I32" s="6"/>
      <c r="J32" s="6"/>
      <c r="K32" s="6"/>
      <c r="L32" s="6"/>
      <c r="M32" s="6"/>
      <c r="N32" s="3"/>
      <c r="Y32" s="8"/>
      <c r="AM32" s="2">
        <v>5</v>
      </c>
      <c r="AN32" s="2" t="s">
        <v>67</v>
      </c>
      <c r="AO32" s="2">
        <v>930600000</v>
      </c>
      <c r="AQ32" s="2">
        <v>5</v>
      </c>
      <c r="AR32" s="2" t="s">
        <v>67</v>
      </c>
      <c r="AS32" s="2">
        <v>0</v>
      </c>
      <c r="AU32" s="2">
        <v>5</v>
      </c>
      <c r="AV32" s="2" t="s">
        <v>67</v>
      </c>
      <c r="AW32" s="2">
        <v>0</v>
      </c>
      <c r="AY32" s="2">
        <v>5</v>
      </c>
      <c r="AZ32" s="2" t="s">
        <v>67</v>
      </c>
    </row>
    <row r="33" spans="2:53" x14ac:dyDescent="0.25">
      <c r="B33" s="2" t="s">
        <v>25</v>
      </c>
      <c r="C33" s="2">
        <f t="shared" si="0"/>
        <v>334777388</v>
      </c>
      <c r="G33" s="2">
        <v>5</v>
      </c>
      <c r="H33" s="6" t="s">
        <v>25</v>
      </c>
      <c r="I33" s="6">
        <v>89273970</v>
      </c>
      <c r="J33" s="6"/>
      <c r="K33" s="6">
        <v>5</v>
      </c>
      <c r="L33" s="6" t="s">
        <v>25</v>
      </c>
      <c r="M33" s="6">
        <v>0</v>
      </c>
      <c r="N33" s="3"/>
      <c r="O33" s="2">
        <v>5</v>
      </c>
      <c r="P33" s="2" t="s">
        <v>25</v>
      </c>
      <c r="Q33" s="2">
        <v>0</v>
      </c>
      <c r="S33" s="2">
        <v>5</v>
      </c>
      <c r="T33" s="2" t="s">
        <v>25</v>
      </c>
      <c r="U33" s="2">
        <v>0</v>
      </c>
      <c r="W33" s="2">
        <v>5</v>
      </c>
      <c r="X33" s="2" t="s">
        <v>25</v>
      </c>
      <c r="Y33" s="9">
        <v>0</v>
      </c>
      <c r="AA33" s="2">
        <v>5</v>
      </c>
      <c r="AB33" s="2" t="s">
        <v>25</v>
      </c>
      <c r="AC33" s="4">
        <v>0</v>
      </c>
      <c r="AE33" s="2">
        <v>5</v>
      </c>
      <c r="AF33" s="2" t="s">
        <v>25</v>
      </c>
      <c r="AG33" s="4">
        <v>89273970</v>
      </c>
      <c r="AI33" s="2">
        <v>5</v>
      </c>
      <c r="AJ33" s="2" t="s">
        <v>25</v>
      </c>
      <c r="AK33" s="2">
        <v>44636985</v>
      </c>
      <c r="AM33" s="2">
        <v>6</v>
      </c>
      <c r="AN33" s="2" t="s">
        <v>25</v>
      </c>
      <c r="AO33" s="2">
        <v>0</v>
      </c>
      <c r="AQ33" s="2">
        <v>6</v>
      </c>
      <c r="AR33" s="2" t="s">
        <v>25</v>
      </c>
      <c r="AS33" s="2">
        <v>111592463</v>
      </c>
      <c r="AU33" s="2">
        <v>6</v>
      </c>
      <c r="AV33" s="2" t="s">
        <v>25</v>
      </c>
      <c r="AW33" s="2">
        <v>0</v>
      </c>
      <c r="AY33" s="2">
        <v>6</v>
      </c>
      <c r="AZ33" s="2" t="s">
        <v>25</v>
      </c>
    </row>
    <row r="34" spans="2:53" x14ac:dyDescent="0.25">
      <c r="B34" s="2" t="s">
        <v>26</v>
      </c>
      <c r="C34" s="2">
        <f t="shared" si="0"/>
        <v>84233460</v>
      </c>
      <c r="G34" s="2">
        <v>6</v>
      </c>
      <c r="H34" s="6" t="s">
        <v>26</v>
      </c>
      <c r="I34" s="6">
        <v>0</v>
      </c>
      <c r="J34" s="6"/>
      <c r="K34" s="6">
        <v>6</v>
      </c>
      <c r="L34" s="6" t="s">
        <v>26</v>
      </c>
      <c r="M34" s="6">
        <v>0</v>
      </c>
      <c r="N34" s="3"/>
      <c r="O34" s="2">
        <v>6</v>
      </c>
      <c r="P34" s="2" t="s">
        <v>26</v>
      </c>
      <c r="Q34" s="2">
        <v>0</v>
      </c>
      <c r="S34" s="2">
        <v>6</v>
      </c>
      <c r="T34" s="2" t="s">
        <v>26</v>
      </c>
      <c r="U34" s="2">
        <v>0</v>
      </c>
      <c r="W34" s="2">
        <v>6</v>
      </c>
      <c r="X34" s="2" t="s">
        <v>26</v>
      </c>
      <c r="Y34" s="9">
        <v>0</v>
      </c>
      <c r="AA34" s="2">
        <v>6</v>
      </c>
      <c r="AB34" s="2" t="s">
        <v>26</v>
      </c>
      <c r="AC34" s="4">
        <v>42116730</v>
      </c>
      <c r="AE34" s="2">
        <v>6</v>
      </c>
      <c r="AF34" s="2" t="s">
        <v>26</v>
      </c>
      <c r="AG34" s="4">
        <v>0</v>
      </c>
      <c r="AI34" s="2">
        <v>6</v>
      </c>
      <c r="AJ34" s="2" t="s">
        <v>26</v>
      </c>
      <c r="AK34" s="2">
        <v>42116730</v>
      </c>
      <c r="AM34" s="2">
        <v>7</v>
      </c>
      <c r="AN34" s="2" t="s">
        <v>26</v>
      </c>
      <c r="AO34" s="2">
        <v>0</v>
      </c>
      <c r="AQ34" s="2">
        <v>7</v>
      </c>
      <c r="AR34" s="2" t="s">
        <v>26</v>
      </c>
      <c r="AS34" s="2">
        <v>0</v>
      </c>
      <c r="AU34" s="2">
        <v>7</v>
      </c>
      <c r="AV34" s="2" t="s">
        <v>26</v>
      </c>
      <c r="AW34" s="2">
        <v>0</v>
      </c>
      <c r="AY34" s="2">
        <v>7</v>
      </c>
      <c r="AZ34" s="2" t="s">
        <v>26</v>
      </c>
    </row>
    <row r="35" spans="2:53" x14ac:dyDescent="0.25">
      <c r="B35" s="2" t="s">
        <v>27</v>
      </c>
      <c r="C35" s="2">
        <f t="shared" si="0"/>
        <v>10110546</v>
      </c>
      <c r="D35" s="2">
        <f>SUM(C33:C35)</f>
        <v>429121394</v>
      </c>
      <c r="E35" s="1">
        <f>D35/D$53*100</f>
        <v>0.46878170250637691</v>
      </c>
      <c r="G35" s="2">
        <v>7</v>
      </c>
      <c r="H35" s="6" t="s">
        <v>27</v>
      </c>
      <c r="I35" s="6">
        <v>0</v>
      </c>
      <c r="J35" s="6"/>
      <c r="K35" s="6">
        <v>7</v>
      </c>
      <c r="L35" s="6" t="s">
        <v>27</v>
      </c>
      <c r="M35" s="6">
        <v>0</v>
      </c>
      <c r="N35" s="3"/>
      <c r="O35" s="2">
        <v>7</v>
      </c>
      <c r="P35" s="2" t="s">
        <v>27</v>
      </c>
      <c r="Q35" s="2">
        <v>0</v>
      </c>
      <c r="S35" s="2">
        <v>7</v>
      </c>
      <c r="T35" s="2" t="s">
        <v>27</v>
      </c>
      <c r="U35" s="2">
        <v>0</v>
      </c>
      <c r="W35" s="2">
        <v>7</v>
      </c>
      <c r="X35" s="2" t="s">
        <v>27</v>
      </c>
      <c r="Y35" s="9">
        <v>0</v>
      </c>
      <c r="AA35" s="2">
        <v>7</v>
      </c>
      <c r="AB35" s="2" t="s">
        <v>27</v>
      </c>
      <c r="AC35" s="4">
        <v>0</v>
      </c>
      <c r="AE35" s="2">
        <v>7</v>
      </c>
      <c r="AF35" s="2" t="s">
        <v>27</v>
      </c>
      <c r="AG35" s="4">
        <v>0</v>
      </c>
      <c r="AI35" s="2">
        <v>7</v>
      </c>
      <c r="AJ35" s="2" t="s">
        <v>27</v>
      </c>
      <c r="AK35" s="2">
        <v>0</v>
      </c>
      <c r="AM35" s="2">
        <v>8</v>
      </c>
      <c r="AN35" s="2" t="s">
        <v>27</v>
      </c>
      <c r="AO35" s="2">
        <v>0</v>
      </c>
      <c r="AQ35" s="2">
        <v>8</v>
      </c>
      <c r="AR35" s="2" t="s">
        <v>27</v>
      </c>
      <c r="AS35" s="2">
        <v>0</v>
      </c>
      <c r="AU35" s="2">
        <v>8</v>
      </c>
      <c r="AV35" s="2" t="s">
        <v>27</v>
      </c>
      <c r="AW35" s="2">
        <v>0</v>
      </c>
      <c r="AY35" s="2">
        <v>8</v>
      </c>
      <c r="AZ35" s="2" t="s">
        <v>27</v>
      </c>
      <c r="BA35" s="2">
        <v>10110546</v>
      </c>
    </row>
    <row r="36" spans="2:53" x14ac:dyDescent="0.25">
      <c r="B36" s="2" t="s">
        <v>28</v>
      </c>
      <c r="C36" s="2">
        <f t="shared" si="0"/>
        <v>177103275</v>
      </c>
      <c r="G36" s="2">
        <v>8</v>
      </c>
      <c r="H36" s="6" t="s">
        <v>28</v>
      </c>
      <c r="I36" s="6">
        <v>0</v>
      </c>
      <c r="J36" s="6"/>
      <c r="K36" s="6">
        <v>8</v>
      </c>
      <c r="L36" s="6" t="s">
        <v>28</v>
      </c>
      <c r="M36" s="6">
        <v>0</v>
      </c>
      <c r="N36" s="3"/>
      <c r="O36" s="2">
        <v>8</v>
      </c>
      <c r="P36" s="2" t="s">
        <v>28</v>
      </c>
      <c r="Q36" s="2">
        <v>0</v>
      </c>
      <c r="S36" s="2">
        <v>8</v>
      </c>
      <c r="T36" s="2" t="s">
        <v>28</v>
      </c>
      <c r="U36" s="2">
        <v>0</v>
      </c>
      <c r="W36" s="2">
        <v>8</v>
      </c>
      <c r="X36" s="2" t="s">
        <v>28</v>
      </c>
      <c r="Y36" s="9">
        <v>0</v>
      </c>
      <c r="AA36" s="2">
        <v>8</v>
      </c>
      <c r="AB36" s="2" t="s">
        <v>28</v>
      </c>
      <c r="AC36" s="4">
        <v>0</v>
      </c>
      <c r="AE36" s="2">
        <v>8</v>
      </c>
      <c r="AF36" s="2" t="s">
        <v>28</v>
      </c>
      <c r="AG36" s="4">
        <v>0</v>
      </c>
      <c r="AI36" s="2">
        <v>8</v>
      </c>
      <c r="AJ36" s="2" t="s">
        <v>28</v>
      </c>
      <c r="AK36" s="2">
        <v>177103275</v>
      </c>
      <c r="AM36" s="2">
        <v>9</v>
      </c>
      <c r="AN36" s="2" t="s">
        <v>28</v>
      </c>
      <c r="AO36" s="2">
        <v>0</v>
      </c>
      <c r="AQ36" s="2">
        <v>9</v>
      </c>
      <c r="AR36" s="2" t="s">
        <v>28</v>
      </c>
      <c r="AS36" s="2">
        <v>0</v>
      </c>
      <c r="AU36" s="2">
        <v>9</v>
      </c>
      <c r="AV36" s="2" t="s">
        <v>28</v>
      </c>
      <c r="AW36" s="4">
        <v>0</v>
      </c>
      <c r="AY36" s="2">
        <v>9</v>
      </c>
      <c r="AZ36" s="2" t="s">
        <v>28</v>
      </c>
    </row>
    <row r="37" spans="2:53" x14ac:dyDescent="0.25">
      <c r="B37" s="2" t="s">
        <v>29</v>
      </c>
      <c r="C37" s="2">
        <f t="shared" si="0"/>
        <v>0</v>
      </c>
      <c r="G37" s="2">
        <v>9</v>
      </c>
      <c r="H37" s="6" t="s">
        <v>29</v>
      </c>
      <c r="I37" s="6">
        <v>0</v>
      </c>
      <c r="J37" s="6"/>
      <c r="K37" s="6">
        <v>9</v>
      </c>
      <c r="L37" s="6" t="s">
        <v>29</v>
      </c>
      <c r="M37" s="6">
        <v>0</v>
      </c>
      <c r="N37" s="3"/>
      <c r="O37" s="2">
        <v>9</v>
      </c>
      <c r="P37" s="2" t="s">
        <v>29</v>
      </c>
      <c r="Q37" s="2">
        <v>0</v>
      </c>
      <c r="S37" s="2">
        <v>9</v>
      </c>
      <c r="T37" s="2" t="s">
        <v>29</v>
      </c>
      <c r="U37" s="2">
        <v>0</v>
      </c>
      <c r="W37" s="2">
        <v>9</v>
      </c>
      <c r="X37" s="2" t="s">
        <v>29</v>
      </c>
      <c r="Y37" s="9">
        <v>0</v>
      </c>
      <c r="AA37" s="2">
        <v>9</v>
      </c>
      <c r="AB37" s="2" t="s">
        <v>29</v>
      </c>
      <c r="AC37" s="4">
        <v>0</v>
      </c>
      <c r="AE37" s="2">
        <v>9</v>
      </c>
      <c r="AF37" s="2" t="s">
        <v>29</v>
      </c>
      <c r="AG37" s="4">
        <v>0</v>
      </c>
      <c r="AI37" s="2">
        <v>9</v>
      </c>
      <c r="AJ37" s="2" t="s">
        <v>29</v>
      </c>
      <c r="AK37" s="2">
        <v>0</v>
      </c>
      <c r="AM37" s="2">
        <v>10</v>
      </c>
      <c r="AN37" s="2" t="s">
        <v>29</v>
      </c>
      <c r="AO37" s="2">
        <v>0</v>
      </c>
      <c r="AQ37" s="2">
        <v>10</v>
      </c>
      <c r="AR37" s="2" t="s">
        <v>29</v>
      </c>
      <c r="AS37" s="2">
        <v>0</v>
      </c>
      <c r="AU37" s="2">
        <v>10</v>
      </c>
      <c r="AV37" s="2" t="s">
        <v>29</v>
      </c>
      <c r="AW37" s="2">
        <v>0</v>
      </c>
      <c r="AY37" s="2">
        <v>10</v>
      </c>
      <c r="AZ37" s="2" t="s">
        <v>29</v>
      </c>
    </row>
    <row r="38" spans="2:53" x14ac:dyDescent="0.25">
      <c r="B38" s="2" t="s">
        <v>30</v>
      </c>
      <c r="C38" s="2">
        <f t="shared" si="0"/>
        <v>0</v>
      </c>
      <c r="D38" s="2">
        <f>SUM(C36:C38)</f>
        <v>177103275</v>
      </c>
      <c r="E38" s="1">
        <f>D38/D$53*100</f>
        <v>0.19347153494275576</v>
      </c>
      <c r="G38" s="2">
        <v>10</v>
      </c>
      <c r="H38" s="6" t="s">
        <v>30</v>
      </c>
      <c r="I38" s="6"/>
      <c r="J38" s="6"/>
      <c r="K38" s="6">
        <v>10</v>
      </c>
      <c r="L38" s="6" t="s">
        <v>30</v>
      </c>
      <c r="M38" s="6">
        <v>0</v>
      </c>
      <c r="N38" s="3"/>
      <c r="O38" s="2">
        <v>10</v>
      </c>
      <c r="P38" s="2" t="s">
        <v>30</v>
      </c>
      <c r="Q38" s="2">
        <v>0</v>
      </c>
      <c r="S38" s="2">
        <v>10</v>
      </c>
      <c r="T38" s="2" t="s">
        <v>30</v>
      </c>
      <c r="U38" s="2">
        <v>0</v>
      </c>
      <c r="W38" s="2">
        <v>10</v>
      </c>
      <c r="X38" s="2" t="s">
        <v>30</v>
      </c>
      <c r="Y38" s="9">
        <v>0</v>
      </c>
      <c r="AA38" s="2">
        <v>10</v>
      </c>
      <c r="AB38" s="2" t="s">
        <v>30</v>
      </c>
      <c r="AC38" s="4">
        <v>0</v>
      </c>
      <c r="AE38" s="2">
        <v>10</v>
      </c>
      <c r="AF38" s="2" t="s">
        <v>30</v>
      </c>
      <c r="AG38" s="4">
        <v>0</v>
      </c>
      <c r="AI38" s="2">
        <v>10</v>
      </c>
      <c r="AJ38" s="2" t="s">
        <v>30</v>
      </c>
      <c r="AK38" s="2">
        <v>0</v>
      </c>
      <c r="AM38" s="2">
        <v>11</v>
      </c>
      <c r="AN38" s="2" t="s">
        <v>30</v>
      </c>
      <c r="AO38" s="2">
        <v>0</v>
      </c>
      <c r="AQ38" s="2">
        <v>11</v>
      </c>
      <c r="AR38" s="2" t="s">
        <v>30</v>
      </c>
      <c r="AS38" s="2">
        <v>0</v>
      </c>
      <c r="AU38" s="2">
        <v>11</v>
      </c>
      <c r="AV38" s="2" t="s">
        <v>30</v>
      </c>
      <c r="AW38" s="2">
        <v>0</v>
      </c>
      <c r="AY38" s="2">
        <v>11</v>
      </c>
      <c r="AZ38" s="2" t="s">
        <v>30</v>
      </c>
    </row>
    <row r="39" spans="2:53" x14ac:dyDescent="0.25">
      <c r="C39" s="2">
        <f t="shared" si="0"/>
        <v>0</v>
      </c>
      <c r="H39" s="6"/>
      <c r="I39" s="6"/>
      <c r="J39" s="6"/>
      <c r="K39" s="6"/>
      <c r="L39" s="6"/>
      <c r="M39" s="6"/>
      <c r="N39" s="3"/>
      <c r="Y39" s="8"/>
    </row>
    <row r="40" spans="2:53" x14ac:dyDescent="0.25">
      <c r="B40" s="2" t="s">
        <v>31</v>
      </c>
      <c r="C40" s="2">
        <f t="shared" si="0"/>
        <v>0</v>
      </c>
      <c r="G40" s="2">
        <v>12</v>
      </c>
      <c r="H40" s="6" t="s">
        <v>31</v>
      </c>
      <c r="I40" s="6">
        <v>0</v>
      </c>
      <c r="J40" s="6"/>
      <c r="K40" s="6">
        <v>12</v>
      </c>
      <c r="L40" s="6" t="s">
        <v>31</v>
      </c>
      <c r="M40" s="6">
        <v>0</v>
      </c>
      <c r="N40" s="3"/>
      <c r="O40" s="2">
        <v>12</v>
      </c>
      <c r="P40" s="2" t="s">
        <v>31</v>
      </c>
      <c r="Q40" s="2">
        <v>0</v>
      </c>
      <c r="S40" s="2">
        <v>12</v>
      </c>
      <c r="T40" s="2" t="s">
        <v>31</v>
      </c>
      <c r="U40" s="2">
        <v>0</v>
      </c>
      <c r="W40" s="2">
        <v>12</v>
      </c>
      <c r="X40" s="2" t="s">
        <v>31</v>
      </c>
      <c r="Y40" s="9">
        <v>0</v>
      </c>
      <c r="AA40" s="2">
        <v>12</v>
      </c>
      <c r="AB40" s="2" t="s">
        <v>31</v>
      </c>
      <c r="AC40" s="4">
        <v>0</v>
      </c>
      <c r="AE40" s="2">
        <v>12</v>
      </c>
      <c r="AF40" s="2" t="s">
        <v>31</v>
      </c>
      <c r="AG40" s="4">
        <v>0</v>
      </c>
      <c r="AI40" s="2">
        <v>11</v>
      </c>
      <c r="AJ40" s="2" t="s">
        <v>31</v>
      </c>
      <c r="AK40" s="2">
        <v>0</v>
      </c>
      <c r="AM40" s="2">
        <v>12</v>
      </c>
      <c r="AN40" s="2" t="s">
        <v>31</v>
      </c>
      <c r="AO40" s="2">
        <v>0</v>
      </c>
      <c r="AQ40" s="2">
        <v>12</v>
      </c>
      <c r="AR40" s="2" t="s">
        <v>31</v>
      </c>
      <c r="AS40" s="2">
        <v>0</v>
      </c>
      <c r="AU40" s="2">
        <v>12</v>
      </c>
      <c r="AV40" s="2" t="s">
        <v>31</v>
      </c>
      <c r="AW40" s="2">
        <v>0</v>
      </c>
      <c r="AY40" s="2">
        <v>12</v>
      </c>
      <c r="AZ40" s="2" t="s">
        <v>31</v>
      </c>
    </row>
    <row r="41" spans="2:53" x14ac:dyDescent="0.25">
      <c r="B41" s="2" t="s">
        <v>32</v>
      </c>
      <c r="C41" s="2">
        <f t="shared" si="0"/>
        <v>0</v>
      </c>
      <c r="G41" s="2">
        <v>13</v>
      </c>
      <c r="H41" s="6" t="s">
        <v>32</v>
      </c>
      <c r="I41" s="6">
        <v>0</v>
      </c>
      <c r="J41" s="6"/>
      <c r="K41" s="6">
        <v>13</v>
      </c>
      <c r="L41" s="6" t="s">
        <v>32</v>
      </c>
      <c r="M41" s="6">
        <v>0</v>
      </c>
      <c r="N41" s="3"/>
      <c r="O41" s="2">
        <v>13</v>
      </c>
      <c r="P41" s="2" t="s">
        <v>32</v>
      </c>
      <c r="Q41" s="2">
        <v>0</v>
      </c>
      <c r="S41" s="2">
        <v>13</v>
      </c>
      <c r="T41" s="2" t="s">
        <v>32</v>
      </c>
      <c r="U41" s="2">
        <v>0</v>
      </c>
      <c r="W41" s="2">
        <v>13</v>
      </c>
      <c r="X41" s="2" t="s">
        <v>32</v>
      </c>
      <c r="Y41" s="9">
        <v>0</v>
      </c>
      <c r="AA41" s="2">
        <v>13</v>
      </c>
      <c r="AB41" s="2" t="s">
        <v>32</v>
      </c>
      <c r="AC41" s="4">
        <v>0</v>
      </c>
      <c r="AE41" s="2">
        <v>13</v>
      </c>
      <c r="AF41" s="2" t="s">
        <v>32</v>
      </c>
      <c r="AG41" s="4">
        <v>0</v>
      </c>
      <c r="AI41" s="2">
        <v>12</v>
      </c>
      <c r="AJ41" s="2" t="s">
        <v>32</v>
      </c>
      <c r="AK41" s="2">
        <v>0</v>
      </c>
      <c r="AM41" s="2">
        <v>13</v>
      </c>
      <c r="AN41" s="2" t="s">
        <v>32</v>
      </c>
      <c r="AO41" s="2">
        <v>0</v>
      </c>
      <c r="AQ41" s="2">
        <v>13</v>
      </c>
      <c r="AR41" s="2" t="s">
        <v>32</v>
      </c>
      <c r="AS41" s="2">
        <v>0</v>
      </c>
      <c r="AU41" s="2">
        <v>13</v>
      </c>
      <c r="AV41" s="2" t="s">
        <v>32</v>
      </c>
      <c r="AW41" s="2">
        <v>0</v>
      </c>
      <c r="AY41" s="2">
        <v>13</v>
      </c>
      <c r="AZ41" s="2" t="s">
        <v>32</v>
      </c>
    </row>
    <row r="42" spans="2:53" x14ac:dyDescent="0.25">
      <c r="B42" s="2" t="s">
        <v>33</v>
      </c>
      <c r="C42" s="2">
        <f t="shared" si="0"/>
        <v>224630700</v>
      </c>
      <c r="G42" s="2">
        <v>14</v>
      </c>
      <c r="H42" s="6" t="s">
        <v>33</v>
      </c>
      <c r="I42" s="6">
        <v>0</v>
      </c>
      <c r="J42" s="6"/>
      <c r="K42" s="6">
        <v>14</v>
      </c>
      <c r="L42" s="6" t="s">
        <v>33</v>
      </c>
      <c r="M42" s="6">
        <v>0</v>
      </c>
      <c r="N42" s="3"/>
      <c r="O42" s="2">
        <v>14</v>
      </c>
      <c r="P42" s="2" t="s">
        <v>33</v>
      </c>
      <c r="Q42" s="2">
        <v>0</v>
      </c>
      <c r="S42" s="2">
        <v>14</v>
      </c>
      <c r="T42" s="2" t="s">
        <v>33</v>
      </c>
      <c r="U42" s="2">
        <v>0</v>
      </c>
      <c r="W42" s="2">
        <v>14</v>
      </c>
      <c r="X42" s="2" t="s">
        <v>33</v>
      </c>
      <c r="Y42" s="9">
        <v>0</v>
      </c>
      <c r="AA42" s="2">
        <v>14</v>
      </c>
      <c r="AB42" s="2" t="s">
        <v>33</v>
      </c>
      <c r="AC42" s="4">
        <v>0</v>
      </c>
      <c r="AE42" s="2">
        <v>14</v>
      </c>
      <c r="AF42" s="2" t="s">
        <v>33</v>
      </c>
      <c r="AG42" s="4">
        <v>0</v>
      </c>
      <c r="AI42" s="2">
        <v>13</v>
      </c>
      <c r="AJ42" s="2" t="s">
        <v>33</v>
      </c>
      <c r="AK42" s="2">
        <v>0</v>
      </c>
      <c r="AM42" s="2">
        <v>14</v>
      </c>
      <c r="AN42" s="2" t="s">
        <v>33</v>
      </c>
      <c r="AO42" s="2">
        <v>0</v>
      </c>
      <c r="AQ42" s="2">
        <v>14</v>
      </c>
      <c r="AR42" s="2" t="s">
        <v>33</v>
      </c>
      <c r="AS42" s="2">
        <v>213535140</v>
      </c>
      <c r="AU42" s="2">
        <v>14</v>
      </c>
      <c r="AV42" s="2" t="s">
        <v>33</v>
      </c>
      <c r="AY42" s="2">
        <v>14</v>
      </c>
      <c r="AZ42" s="2" t="s">
        <v>33</v>
      </c>
      <c r="BA42" s="2">
        <v>11095560</v>
      </c>
    </row>
    <row r="43" spans="2:53" x14ac:dyDescent="0.25">
      <c r="B43" s="2" t="s">
        <v>34</v>
      </c>
      <c r="C43" s="2">
        <f t="shared" si="0"/>
        <v>622819890</v>
      </c>
      <c r="D43" s="2">
        <f>SUM(C40:C43)</f>
        <v>847450590</v>
      </c>
      <c r="E43" s="1">
        <f>D43/D$53*100</f>
        <v>0.92577376920581511</v>
      </c>
      <c r="G43" s="2">
        <v>15</v>
      </c>
      <c r="H43" s="6" t="s">
        <v>34</v>
      </c>
      <c r="I43" s="6">
        <v>0</v>
      </c>
      <c r="J43" s="6"/>
      <c r="K43" s="6">
        <v>15</v>
      </c>
      <c r="L43" s="6" t="s">
        <v>34</v>
      </c>
      <c r="M43" s="6">
        <v>0</v>
      </c>
      <c r="N43" s="3"/>
      <c r="O43" s="2">
        <v>15</v>
      </c>
      <c r="P43" s="2" t="s">
        <v>34</v>
      </c>
      <c r="Q43" s="2">
        <v>0</v>
      </c>
      <c r="S43" s="2">
        <v>15</v>
      </c>
      <c r="T43" s="2" t="s">
        <v>34</v>
      </c>
      <c r="U43" s="2">
        <v>169859970</v>
      </c>
      <c r="W43" s="2">
        <v>15</v>
      </c>
      <c r="X43" s="2" t="s">
        <v>34</v>
      </c>
      <c r="Y43" s="9">
        <v>0</v>
      </c>
      <c r="AA43" s="2">
        <v>15</v>
      </c>
      <c r="AB43" s="2" t="s">
        <v>34</v>
      </c>
      <c r="AC43" s="4">
        <v>113239980</v>
      </c>
      <c r="AE43" s="2">
        <v>15</v>
      </c>
      <c r="AF43" s="2" t="s">
        <v>34</v>
      </c>
      <c r="AG43" s="4">
        <v>113239980</v>
      </c>
      <c r="AI43" s="2">
        <v>14</v>
      </c>
      <c r="AJ43" s="2" t="s">
        <v>34</v>
      </c>
      <c r="AK43" s="2">
        <v>0</v>
      </c>
      <c r="AM43" s="2">
        <v>15</v>
      </c>
      <c r="AN43" s="2" t="s">
        <v>34</v>
      </c>
      <c r="AO43" s="2">
        <v>0</v>
      </c>
      <c r="AQ43" s="2">
        <v>15</v>
      </c>
      <c r="AR43" s="2" t="s">
        <v>34</v>
      </c>
      <c r="AS43" s="2">
        <v>226479960</v>
      </c>
      <c r="AU43" s="2">
        <v>15</v>
      </c>
      <c r="AV43" s="2" t="s">
        <v>34</v>
      </c>
      <c r="AW43" s="2">
        <v>0</v>
      </c>
      <c r="AY43" s="2">
        <v>15</v>
      </c>
      <c r="AZ43" s="2" t="s">
        <v>34</v>
      </c>
    </row>
    <row r="44" spans="2:53" x14ac:dyDescent="0.25">
      <c r="B44" s="2" t="s">
        <v>35</v>
      </c>
      <c r="C44" s="2">
        <f t="shared" si="0"/>
        <v>39456754</v>
      </c>
      <c r="G44" s="2">
        <v>17</v>
      </c>
      <c r="H44" s="6" t="s">
        <v>35</v>
      </c>
      <c r="I44" s="6">
        <v>0</v>
      </c>
      <c r="J44" s="6"/>
      <c r="K44" s="6">
        <v>17</v>
      </c>
      <c r="L44" s="6" t="s">
        <v>35</v>
      </c>
      <c r="M44" s="6">
        <v>0</v>
      </c>
      <c r="N44" s="3"/>
      <c r="O44" s="2">
        <v>17</v>
      </c>
      <c r="P44" s="2" t="s">
        <v>35</v>
      </c>
      <c r="Q44" s="2">
        <v>19421254</v>
      </c>
      <c r="S44" s="2">
        <v>17</v>
      </c>
      <c r="T44" s="2" t="s">
        <v>35</v>
      </c>
      <c r="U44" s="2">
        <v>0</v>
      </c>
      <c r="W44" s="2">
        <v>17</v>
      </c>
      <c r="X44" s="2" t="s">
        <v>35</v>
      </c>
      <c r="Y44" s="9">
        <v>0</v>
      </c>
      <c r="AA44" s="2">
        <v>17</v>
      </c>
      <c r="AB44" s="2" t="s">
        <v>35</v>
      </c>
      <c r="AC44" s="4">
        <v>0</v>
      </c>
      <c r="AE44" s="2">
        <v>17</v>
      </c>
      <c r="AF44" s="2" t="s">
        <v>35</v>
      </c>
      <c r="AG44" s="4">
        <v>0</v>
      </c>
      <c r="AI44" s="2">
        <v>15</v>
      </c>
      <c r="AJ44" s="2" t="s">
        <v>35</v>
      </c>
      <c r="AK44" s="2">
        <v>0</v>
      </c>
      <c r="AM44" s="2">
        <v>16</v>
      </c>
      <c r="AN44" s="2" t="s">
        <v>35</v>
      </c>
      <c r="AO44" s="2">
        <v>0</v>
      </c>
      <c r="AQ44" s="2">
        <v>16</v>
      </c>
      <c r="AR44" s="2" t="s">
        <v>35</v>
      </c>
      <c r="AS44" s="2">
        <v>0</v>
      </c>
      <c r="AU44" s="2">
        <v>16</v>
      </c>
      <c r="AV44" s="2" t="s">
        <v>35</v>
      </c>
      <c r="AW44" s="2">
        <v>0</v>
      </c>
      <c r="AY44" s="2">
        <v>16</v>
      </c>
      <c r="AZ44" s="2" t="s">
        <v>35</v>
      </c>
      <c r="BA44" s="2">
        <v>20035500</v>
      </c>
    </row>
    <row r="45" spans="2:53" x14ac:dyDescent="0.25">
      <c r="B45" s="2" t="s">
        <v>36</v>
      </c>
      <c r="C45" s="2">
        <f t="shared" si="0"/>
        <v>0</v>
      </c>
      <c r="G45" s="2">
        <v>18</v>
      </c>
      <c r="H45" s="6" t="s">
        <v>36</v>
      </c>
      <c r="I45" s="6">
        <v>0</v>
      </c>
      <c r="J45" s="6"/>
      <c r="K45" s="6">
        <v>18</v>
      </c>
      <c r="L45" s="6" t="s">
        <v>36</v>
      </c>
      <c r="M45" s="6">
        <v>0</v>
      </c>
      <c r="N45" s="3"/>
      <c r="O45" s="2">
        <v>18</v>
      </c>
      <c r="P45" s="2" t="s">
        <v>36</v>
      </c>
      <c r="Q45" s="2">
        <v>0</v>
      </c>
      <c r="S45" s="2">
        <v>18</v>
      </c>
      <c r="T45" s="2" t="s">
        <v>36</v>
      </c>
      <c r="U45" s="2">
        <v>0</v>
      </c>
      <c r="W45" s="2">
        <v>18</v>
      </c>
      <c r="X45" s="2" t="s">
        <v>36</v>
      </c>
      <c r="Y45" s="9">
        <v>0</v>
      </c>
      <c r="AA45" s="2">
        <v>18</v>
      </c>
      <c r="AB45" s="2" t="s">
        <v>36</v>
      </c>
      <c r="AC45" s="4">
        <v>0</v>
      </c>
      <c r="AE45" s="2">
        <v>18</v>
      </c>
      <c r="AF45" s="2" t="s">
        <v>36</v>
      </c>
      <c r="AG45" s="4">
        <v>0</v>
      </c>
      <c r="AI45" s="2">
        <v>16</v>
      </c>
      <c r="AJ45" s="2" t="s">
        <v>36</v>
      </c>
      <c r="AK45" s="2">
        <v>0</v>
      </c>
      <c r="AM45" s="2">
        <v>17</v>
      </c>
      <c r="AN45" s="2" t="s">
        <v>36</v>
      </c>
      <c r="AO45" s="2">
        <v>0</v>
      </c>
      <c r="AQ45" s="2">
        <v>17</v>
      </c>
      <c r="AR45" s="2" t="s">
        <v>36</v>
      </c>
      <c r="AS45" s="2">
        <v>0</v>
      </c>
      <c r="AU45" s="2">
        <v>17</v>
      </c>
      <c r="AV45" s="2" t="s">
        <v>36</v>
      </c>
      <c r="AW45" s="2">
        <v>0</v>
      </c>
      <c r="AY45" s="2">
        <v>17</v>
      </c>
      <c r="AZ45" s="2" t="s">
        <v>36</v>
      </c>
    </row>
    <row r="46" spans="2:53" x14ac:dyDescent="0.25">
      <c r="B46" s="2" t="s">
        <v>37</v>
      </c>
      <c r="C46" s="2">
        <f t="shared" si="0"/>
        <v>0</v>
      </c>
      <c r="D46" s="2">
        <f>SUM(C44:C46)</f>
        <v>39456754</v>
      </c>
      <c r="E46" s="1">
        <f>D46/D$53*100</f>
        <v>4.3103430810292574E-2</v>
      </c>
      <c r="G46" s="2">
        <v>19</v>
      </c>
      <c r="H46" s="6" t="s">
        <v>37</v>
      </c>
      <c r="I46" s="6">
        <v>0</v>
      </c>
      <c r="J46" s="6"/>
      <c r="K46" s="6">
        <v>19</v>
      </c>
      <c r="L46" s="6" t="s">
        <v>37</v>
      </c>
      <c r="M46" s="6">
        <v>0</v>
      </c>
      <c r="N46" s="3"/>
      <c r="O46" s="2">
        <v>19</v>
      </c>
      <c r="P46" s="2" t="s">
        <v>37</v>
      </c>
      <c r="Q46" s="2">
        <v>0</v>
      </c>
      <c r="S46" s="2">
        <v>19</v>
      </c>
      <c r="T46" s="2" t="s">
        <v>37</v>
      </c>
      <c r="U46" s="2">
        <v>0</v>
      </c>
      <c r="W46" s="2">
        <v>19</v>
      </c>
      <c r="X46" s="2" t="s">
        <v>37</v>
      </c>
      <c r="Y46" s="9">
        <v>0</v>
      </c>
      <c r="AA46" s="2">
        <v>19</v>
      </c>
      <c r="AB46" s="2" t="s">
        <v>37</v>
      </c>
      <c r="AC46" s="4">
        <v>0</v>
      </c>
      <c r="AE46" s="2">
        <v>19</v>
      </c>
      <c r="AF46" s="2" t="s">
        <v>37</v>
      </c>
      <c r="AG46" s="4">
        <v>0</v>
      </c>
      <c r="AI46" s="2">
        <v>17</v>
      </c>
      <c r="AJ46" s="2" t="s">
        <v>37</v>
      </c>
      <c r="AK46" s="2">
        <v>0</v>
      </c>
      <c r="AM46" s="2">
        <v>18</v>
      </c>
      <c r="AN46" s="2" t="s">
        <v>37</v>
      </c>
      <c r="AO46" s="2">
        <v>0</v>
      </c>
      <c r="AQ46" s="2">
        <v>18</v>
      </c>
      <c r="AR46" s="2" t="s">
        <v>37</v>
      </c>
      <c r="AS46" s="2">
        <v>0</v>
      </c>
      <c r="AU46" s="2">
        <v>18</v>
      </c>
      <c r="AV46" s="2" t="s">
        <v>37</v>
      </c>
      <c r="AW46" s="2">
        <v>0</v>
      </c>
      <c r="AY46" s="2">
        <v>18</v>
      </c>
      <c r="AZ46" s="2" t="s">
        <v>37</v>
      </c>
    </row>
    <row r="47" spans="2:53" x14ac:dyDescent="0.25">
      <c r="H47" s="6"/>
      <c r="I47" s="6"/>
      <c r="J47" s="6"/>
      <c r="K47" s="6"/>
      <c r="L47" s="6"/>
      <c r="M47" s="6"/>
      <c r="N47" s="3"/>
      <c r="Y47" s="9"/>
      <c r="AC47" s="4"/>
      <c r="AG47" s="4"/>
    </row>
    <row r="48" spans="2:53" x14ac:dyDescent="0.25">
      <c r="B48" s="2" t="s">
        <v>70</v>
      </c>
      <c r="C48" s="2">
        <f t="shared" ref="C48" si="1">I48+M48+Q48+U48+Y48+AC48+AG48+AK48+AO48+AS48+AW48+BA48</f>
        <v>24253500</v>
      </c>
      <c r="D48" s="2">
        <f>C48</f>
        <v>24253500</v>
      </c>
      <c r="E48" s="1">
        <f>D48/D$53*100</f>
        <v>2.649505986116929E-2</v>
      </c>
      <c r="H48" s="2" t="s">
        <v>70</v>
      </c>
      <c r="I48" s="6"/>
      <c r="J48" s="6"/>
      <c r="K48" s="6"/>
      <c r="L48" s="6"/>
      <c r="M48" s="6"/>
      <c r="N48" s="3"/>
      <c r="Y48" s="9"/>
      <c r="AC48" s="4"/>
      <c r="AG48" s="4"/>
      <c r="AM48" s="2">
        <v>19</v>
      </c>
      <c r="AN48" s="2" t="s">
        <v>68</v>
      </c>
      <c r="AQ48" s="2">
        <v>19</v>
      </c>
      <c r="AR48" s="2" t="s">
        <v>68</v>
      </c>
      <c r="AU48" s="2">
        <v>19</v>
      </c>
      <c r="AV48" s="2" t="s">
        <v>68</v>
      </c>
      <c r="AY48" s="2">
        <v>19</v>
      </c>
      <c r="AZ48" s="2" t="s">
        <v>68</v>
      </c>
      <c r="BA48" s="2">
        <v>24253500</v>
      </c>
    </row>
    <row r="49" spans="2:53" x14ac:dyDescent="0.25">
      <c r="B49" s="2" t="s">
        <v>68</v>
      </c>
      <c r="C49" s="2">
        <f t="shared" si="0"/>
        <v>270840000</v>
      </c>
      <c r="D49" s="2">
        <f>C49</f>
        <v>270840000</v>
      </c>
      <c r="E49" s="1">
        <f>D49/D$53*100</f>
        <v>0.29587160668765711</v>
      </c>
      <c r="H49" s="2" t="s">
        <v>68</v>
      </c>
      <c r="I49" s="6"/>
      <c r="J49" s="6"/>
      <c r="K49" s="6"/>
      <c r="L49" s="6"/>
      <c r="M49" s="6"/>
      <c r="N49" s="3"/>
      <c r="Y49" s="9"/>
      <c r="AC49" s="4"/>
      <c r="AG49" s="4"/>
      <c r="AM49" s="2">
        <v>19</v>
      </c>
      <c r="AN49" s="2" t="s">
        <v>68</v>
      </c>
      <c r="AO49" s="2">
        <v>11100000</v>
      </c>
      <c r="AQ49" s="2">
        <v>19</v>
      </c>
      <c r="AR49" s="2" t="s">
        <v>68</v>
      </c>
      <c r="AS49" s="2">
        <v>55500000</v>
      </c>
      <c r="AU49" s="2">
        <v>19</v>
      </c>
      <c r="AV49" s="2" t="s">
        <v>68</v>
      </c>
      <c r="AW49" s="2">
        <v>66600000</v>
      </c>
      <c r="AY49" s="2">
        <v>19</v>
      </c>
      <c r="AZ49" s="2" t="s">
        <v>68</v>
      </c>
      <c r="BA49" s="2">
        <v>137640000</v>
      </c>
    </row>
    <row r="50" spans="2:53" x14ac:dyDescent="0.25">
      <c r="H50" s="6"/>
      <c r="I50" s="6"/>
      <c r="J50" s="6"/>
      <c r="K50" s="6"/>
      <c r="L50" s="6"/>
      <c r="M50" s="6"/>
      <c r="N50" s="3"/>
    </row>
    <row r="51" spans="2:53" x14ac:dyDescent="0.25">
      <c r="G51" s="2" t="s">
        <v>38</v>
      </c>
      <c r="H51" s="6"/>
      <c r="I51" s="6">
        <f>SUM(I27:I46)</f>
        <v>354330870</v>
      </c>
      <c r="J51" s="6"/>
      <c r="K51" s="6" t="s">
        <v>38</v>
      </c>
      <c r="L51" s="6"/>
      <c r="M51" s="6">
        <f>SUM(M27:M46)</f>
        <v>460534560</v>
      </c>
      <c r="N51" s="3"/>
      <c r="O51" s="2" t="s">
        <v>38</v>
      </c>
      <c r="Q51" s="2">
        <f>SUM(Q27:Q46)</f>
        <v>56217754</v>
      </c>
      <c r="S51" s="2" t="s">
        <v>38</v>
      </c>
      <c r="U51" s="2">
        <f>SUM(U27:U46)</f>
        <v>633061860</v>
      </c>
      <c r="W51" s="2" t="s">
        <v>38</v>
      </c>
      <c r="Y51" s="2">
        <f>SUM(Y27:Y46)</f>
        <v>241396140</v>
      </c>
      <c r="AA51" s="2" t="s">
        <v>38</v>
      </c>
      <c r="AC51" s="2">
        <f>SUM(AC27:AC46)</f>
        <v>514962300</v>
      </c>
      <c r="AE51" s="2" t="s">
        <v>38</v>
      </c>
      <c r="AG51" s="2">
        <f>SUM(AG27:AG46)</f>
        <v>1131683850</v>
      </c>
      <c r="AI51" s="2" t="s">
        <v>38</v>
      </c>
      <c r="AK51" s="2">
        <f>SUM(AK27:AK46)</f>
        <v>656399610</v>
      </c>
      <c r="AM51" s="2" t="s">
        <v>38</v>
      </c>
      <c r="AO51" s="2">
        <f>SUM(AO27:AO49)</f>
        <v>1325925390</v>
      </c>
      <c r="AQ51" s="2" t="s">
        <v>38</v>
      </c>
      <c r="AS51" s="2">
        <f>SUM(AS27:AS49)</f>
        <v>1302196223</v>
      </c>
      <c r="AU51" s="2" t="s">
        <v>38</v>
      </c>
      <c r="AW51" s="2">
        <f>SUM(AW27:AW49)</f>
        <v>66600000</v>
      </c>
      <c r="AY51" s="2" t="s">
        <v>38</v>
      </c>
      <c r="BA51" s="2">
        <f>SUM(BA27:BA49)</f>
        <v>784101114</v>
      </c>
    </row>
    <row r="52" spans="2:53" x14ac:dyDescent="0.25">
      <c r="G52" s="2" t="s">
        <v>39</v>
      </c>
      <c r="H52" s="6"/>
      <c r="I52" s="6">
        <f>SUM(I3:I25)</f>
        <v>1706045248</v>
      </c>
      <c r="J52" s="6"/>
      <c r="K52" s="6" t="s">
        <v>39</v>
      </c>
      <c r="L52" s="6"/>
      <c r="M52" s="6">
        <f>SUM(M3:M25)</f>
        <v>4095154080</v>
      </c>
      <c r="N52" s="3"/>
      <c r="O52" s="2" t="s">
        <v>39</v>
      </c>
      <c r="Q52" s="2">
        <f>SUM(Q3:Q25)</f>
        <v>8986116833</v>
      </c>
      <c r="S52" s="2" t="s">
        <v>39</v>
      </c>
      <c r="U52" s="2">
        <f>SUM(U3:U25)</f>
        <v>9349722506</v>
      </c>
      <c r="W52" s="2" t="s">
        <v>39</v>
      </c>
      <c r="Y52" s="2">
        <f>SUM(Y3:Y25)</f>
        <v>5051114719</v>
      </c>
      <c r="AA52" s="2" t="s">
        <v>39</v>
      </c>
      <c r="AC52" s="2">
        <f>SUM(AC3:AC25)</f>
        <v>6634301447</v>
      </c>
      <c r="AE52" s="2" t="s">
        <v>39</v>
      </c>
      <c r="AG52" s="2">
        <f>SUM(AG3:AG25)</f>
        <v>9358994971</v>
      </c>
      <c r="AI52" s="2" t="s">
        <v>39</v>
      </c>
      <c r="AK52" s="2">
        <f>SUM(AK3:AK25)</f>
        <v>11809399337</v>
      </c>
      <c r="AM52" s="2" t="s">
        <v>39</v>
      </c>
      <c r="AO52" s="2">
        <f>SUM(AO3:AO25)</f>
        <v>13325625701</v>
      </c>
      <c r="AQ52" s="2" t="s">
        <v>39</v>
      </c>
      <c r="AS52" s="2">
        <f>SUM(AS3:AS25)</f>
        <v>10561555596</v>
      </c>
      <c r="AU52" s="2" t="s">
        <v>39</v>
      </c>
      <c r="AW52" s="2">
        <f>SUM(AW3:AW25)</f>
        <v>2852612199</v>
      </c>
      <c r="AY52" s="2" t="s">
        <v>39</v>
      </c>
      <c r="BA52" s="2">
        <f>SUM(BA3:BA25)</f>
        <v>281654064</v>
      </c>
    </row>
    <row r="53" spans="2:53" x14ac:dyDescent="0.25">
      <c r="B53" s="2">
        <v>95000000000</v>
      </c>
      <c r="C53" s="2">
        <f>SUM(C3:C52)</f>
        <v>91539706372</v>
      </c>
      <c r="D53" s="2">
        <f>SUM(D3:D52)</f>
        <v>91539706372</v>
      </c>
      <c r="E53" s="1">
        <f>D53/D$53*100</f>
        <v>100</v>
      </c>
      <c r="G53" s="2" t="s">
        <v>40</v>
      </c>
      <c r="H53" s="6"/>
      <c r="I53" s="6">
        <f>I52+I51</f>
        <v>2060376118</v>
      </c>
      <c r="J53" s="6"/>
      <c r="K53" s="6" t="s">
        <v>40</v>
      </c>
      <c r="L53" s="6"/>
      <c r="M53" s="6">
        <f>M52+M51</f>
        <v>4555688640</v>
      </c>
      <c r="N53" s="3"/>
      <c r="O53" s="2" t="s">
        <v>40</v>
      </c>
      <c r="Q53" s="2">
        <f>Q52+Q51</f>
        <v>9042334587</v>
      </c>
      <c r="S53" s="2" t="s">
        <v>40</v>
      </c>
      <c r="U53" s="2">
        <f>U52+U51</f>
        <v>9982784366</v>
      </c>
      <c r="W53" s="2" t="s">
        <v>40</v>
      </c>
      <c r="Y53" s="2">
        <f>Y52+Y51</f>
        <v>5292510859</v>
      </c>
      <c r="AA53" s="2" t="s">
        <v>40</v>
      </c>
      <c r="AC53" s="2">
        <f>AC52+AC51</f>
        <v>7149263747</v>
      </c>
      <c r="AE53" s="2" t="s">
        <v>40</v>
      </c>
      <c r="AG53" s="2">
        <f>AG52+AG51</f>
        <v>10490678821</v>
      </c>
      <c r="AI53" s="2" t="s">
        <v>40</v>
      </c>
      <c r="AK53" s="2">
        <f>AK52+AK51</f>
        <v>12465798947</v>
      </c>
      <c r="AM53" s="2" t="s">
        <v>40</v>
      </c>
      <c r="AO53" s="2">
        <f>AO52+AO51</f>
        <v>14651551091</v>
      </c>
      <c r="AQ53" s="2" t="s">
        <v>40</v>
      </c>
      <c r="AS53" s="2">
        <f>AS52+AS51</f>
        <v>11863751819</v>
      </c>
      <c r="AU53" s="2" t="s">
        <v>40</v>
      </c>
      <c r="AW53" s="2">
        <f>AW52+AW51</f>
        <v>2919212199</v>
      </c>
      <c r="AY53" s="2" t="s">
        <v>40</v>
      </c>
      <c r="BA53" s="2">
        <f>BA52+BA51</f>
        <v>1065755178</v>
      </c>
    </row>
    <row r="54" spans="2:53" x14ac:dyDescent="0.25">
      <c r="B54" s="13">
        <f>C53/B53*100</f>
        <v>96.357585654736837</v>
      </c>
      <c r="C54" s="2">
        <f>C53-C55</f>
        <v>0</v>
      </c>
      <c r="H54" s="6"/>
      <c r="I54" s="6"/>
      <c r="J54" s="6"/>
      <c r="K54" s="6"/>
      <c r="L54" s="6"/>
      <c r="M54" s="6"/>
    </row>
    <row r="55" spans="2:53" x14ac:dyDescent="0.25">
      <c r="B55" s="13"/>
      <c r="C55" s="2">
        <f>I55+M55+Q55+U55+Y55+AC55+AG55+AK55+AO55+AS55+AW55+BA55</f>
        <v>91539706372</v>
      </c>
      <c r="H55" s="6"/>
      <c r="I55" s="6">
        <f>SUM(I3:I50)</f>
        <v>2060376118</v>
      </c>
      <c r="J55" s="6"/>
      <c r="K55" s="6"/>
      <c r="L55" s="6"/>
      <c r="M55" s="6">
        <f>SUM(M3:M50)</f>
        <v>4555688640</v>
      </c>
      <c r="Q55" s="2">
        <f>SUM(Q3:Q50)</f>
        <v>9042334587</v>
      </c>
      <c r="U55" s="2">
        <f>SUM(U3:U50)</f>
        <v>9982784366</v>
      </c>
      <c r="Y55" s="2">
        <f>SUM(Y3:Y50)</f>
        <v>5292510859</v>
      </c>
      <c r="AC55" s="2">
        <f>SUM(AC3:AC50)</f>
        <v>7149263747</v>
      </c>
      <c r="AG55" s="2">
        <f>SUM(AG3:AG50)</f>
        <v>10490678821</v>
      </c>
      <c r="AK55" s="2">
        <f>SUM(AK3:AK50)</f>
        <v>12465798947</v>
      </c>
      <c r="AO55" s="2">
        <f>SUM(AO3:AO50)</f>
        <v>14651551091</v>
      </c>
      <c r="AS55" s="2">
        <f>SUM(AS3:AS50)</f>
        <v>11863751819</v>
      </c>
      <c r="AW55" s="2">
        <f>SUM(AW3:AW50)</f>
        <v>2919212199</v>
      </c>
      <c r="BA55" s="2">
        <f>SUM(BA3:BA50)</f>
        <v>1065755178</v>
      </c>
    </row>
    <row r="56" spans="2:53" x14ac:dyDescent="0.25">
      <c r="I56" s="2">
        <f>I55-I53</f>
        <v>0</v>
      </c>
      <c r="M56" s="2">
        <f>M55-M53</f>
        <v>0</v>
      </c>
    </row>
  </sheetData>
  <mergeCells count="1">
    <mergeCell ref="B54:B5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DK_APM_01</dc:creator>
  <cp:lastModifiedBy>KALATHAM</cp:lastModifiedBy>
  <dcterms:created xsi:type="dcterms:W3CDTF">2022-10-08T08:52:33Z</dcterms:created>
  <dcterms:modified xsi:type="dcterms:W3CDTF">2026-03-11T02:23:24Z</dcterms:modified>
</cp:coreProperties>
</file>