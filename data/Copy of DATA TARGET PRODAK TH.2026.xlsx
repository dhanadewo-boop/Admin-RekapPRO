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LATHAM\Admin-RekapPRO\data\"/>
    </mc:Choice>
  </mc:AlternateContent>
  <xr:revisionPtr revIDLastSave="0" documentId="8_{12BEB92D-8489-48E9-BCDC-89542395E85D}" xr6:coauthVersionLast="47" xr6:coauthVersionMax="47" xr10:uidLastSave="{00000000-0000-0000-0000-000000000000}"/>
  <bookViews>
    <workbookView xWindow="-120" yWindow="-120" windowWidth="24240" windowHeight="13020" xr2:uid="{0969F97F-C0A7-4F5A-BDE9-2404B2CF3662}"/>
  </bookViews>
  <sheets>
    <sheet name="GDSL" sheetId="4" r:id="rId1"/>
    <sheet name="Gdpn" sheetId="2" r:id="rId2"/>
    <sheet name="Mstfl" sheetId="20" r:id="rId3"/>
    <sheet name="Dkg" sheetId="21" r:id="rId4"/>
    <sheet name="Gdtar" sheetId="13" r:id="rId5"/>
    <sheet name="Osmocote" sheetId="7" r:id="rId6"/>
    <sheet name="Dkm Cair" sheetId="8" r:id="rId7"/>
    <sheet name="Dkm 1,2" sheetId="9" r:id="rId8"/>
    <sheet name="Dekabond" sheetId="26" r:id="rId9"/>
    <sheet name="Vlmk" sheetId="24" r:id="rId10"/>
    <sheet name="Msg" sheetId="3" r:id="rId11"/>
    <sheet name="Dkprm" sheetId="22" r:id="rId12"/>
    <sheet name="Dktn" sheetId="23" r:id="rId13"/>
    <sheet name="Dmc" sheetId="25" r:id="rId14"/>
    <sheet name="Zn" sheetId="18" r:id="rId15"/>
    <sheet name="RKP PRDAK" sheetId="15" r:id="rId16"/>
    <sheet name="RKP TOKO " sheetId="16" r:id="rId17"/>
  </sheets>
  <externalReferences>
    <externalReference r:id="rId18"/>
  </externalReferences>
  <definedNames>
    <definedName name="_xlnm.Print_Area" localSheetId="1">Gdpn!$A$3:$K$47</definedName>
    <definedName name="_xlnm.Print_Area" localSheetId="0">GDSL!$A$257:$L$270</definedName>
    <definedName name="_xlnm.Print_Area" localSheetId="4">Gdtar!$A$3:$L$40</definedName>
    <definedName name="_xlnm.Print_Area" localSheetId="16">'RKP TOKO 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1" i="7" l="1"/>
  <c r="L31" i="7" s="1"/>
  <c r="J29" i="24"/>
  <c r="K29" i="24" s="1"/>
  <c r="G20" i="24"/>
  <c r="G19" i="24"/>
  <c r="G18" i="24"/>
  <c r="G17" i="24"/>
  <c r="G16" i="24"/>
  <c r="G15" i="24"/>
  <c r="G14" i="24"/>
  <c r="G13" i="24"/>
  <c r="G12" i="24"/>
  <c r="G11" i="24"/>
  <c r="G10" i="24"/>
  <c r="G9" i="24"/>
  <c r="G8" i="24"/>
  <c r="G41" i="24"/>
  <c r="G40" i="24"/>
  <c r="G39" i="24"/>
  <c r="G38" i="24"/>
  <c r="G37" i="24"/>
  <c r="G36" i="24"/>
  <c r="G35" i="24"/>
  <c r="G34" i="24"/>
  <c r="G33" i="24"/>
  <c r="G32" i="24"/>
  <c r="G31" i="24"/>
  <c r="G30" i="24"/>
  <c r="K141" i="4"/>
  <c r="K91" i="4"/>
  <c r="K80" i="7"/>
  <c r="I54" i="26"/>
  <c r="K219" i="4"/>
  <c r="H226" i="4"/>
  <c r="H225" i="4"/>
  <c r="H224" i="4"/>
  <c r="H223" i="4"/>
  <c r="H222" i="4"/>
  <c r="H221" i="4"/>
  <c r="H220" i="4"/>
  <c r="H219" i="4"/>
  <c r="H218" i="4"/>
  <c r="G226" i="4"/>
  <c r="G225" i="4"/>
  <c r="G224" i="4"/>
  <c r="G223" i="4"/>
  <c r="G222" i="4"/>
  <c r="G221" i="4"/>
  <c r="G220" i="4"/>
  <c r="G219" i="4"/>
  <c r="K168" i="4"/>
  <c r="J8" i="23"/>
  <c r="G20" i="23"/>
  <c r="G19" i="23"/>
  <c r="G18" i="23"/>
  <c r="G17" i="23"/>
  <c r="G16" i="23"/>
  <c r="G15" i="23"/>
  <c r="G14" i="23"/>
  <c r="G21" i="23" s="1"/>
  <c r="K33" i="16" s="1"/>
  <c r="G13" i="23"/>
  <c r="G12" i="23"/>
  <c r="G11" i="23"/>
  <c r="G10" i="23"/>
  <c r="G9" i="23"/>
  <c r="K9" i="4"/>
  <c r="K64" i="4"/>
  <c r="L64" i="4" s="1"/>
  <c r="G90" i="26"/>
  <c r="G89" i="26"/>
  <c r="G88" i="26"/>
  <c r="G87" i="26"/>
  <c r="G86" i="26"/>
  <c r="G85" i="26"/>
  <c r="G84" i="26"/>
  <c r="G75" i="26"/>
  <c r="G74" i="26"/>
  <c r="G73" i="26"/>
  <c r="G72" i="26"/>
  <c r="G71" i="26"/>
  <c r="G70" i="26"/>
  <c r="G69" i="26"/>
  <c r="H69" i="26"/>
  <c r="G60" i="26"/>
  <c r="G59" i="26"/>
  <c r="G58" i="26"/>
  <c r="G57" i="26"/>
  <c r="G56" i="26"/>
  <c r="G55" i="26"/>
  <c r="G54" i="26"/>
  <c r="G45" i="26"/>
  <c r="G44" i="26"/>
  <c r="G43" i="26"/>
  <c r="G42" i="26"/>
  <c r="G41" i="26"/>
  <c r="H24" i="26"/>
  <c r="H25" i="26" s="1"/>
  <c r="L25" i="3"/>
  <c r="K140" i="4"/>
  <c r="J36" i="2"/>
  <c r="J76" i="2"/>
  <c r="J75" i="2"/>
  <c r="K30" i="7"/>
  <c r="L30" i="7" s="1"/>
  <c r="K29" i="7"/>
  <c r="L29" i="7" s="1"/>
  <c r="I8" i="26"/>
  <c r="I25" i="26"/>
  <c r="K90" i="4"/>
  <c r="K190" i="4"/>
  <c r="J131" i="8"/>
  <c r="K63" i="4"/>
  <c r="J62" i="13"/>
  <c r="I40" i="26"/>
  <c r="G40" i="26"/>
  <c r="L24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I36" i="3"/>
  <c r="I35" i="3"/>
  <c r="I34" i="3"/>
  <c r="I33" i="3"/>
  <c r="I32" i="3"/>
  <c r="I31" i="3"/>
  <c r="I30" i="3"/>
  <c r="I29" i="3"/>
  <c r="I28" i="3"/>
  <c r="I27" i="3"/>
  <c r="I26" i="3"/>
  <c r="I25" i="3"/>
  <c r="J35" i="2"/>
  <c r="I39" i="26"/>
  <c r="G39" i="26"/>
  <c r="K139" i="4"/>
  <c r="K138" i="4"/>
  <c r="J40" i="8"/>
  <c r="K89" i="4"/>
  <c r="I24" i="26"/>
  <c r="G30" i="26"/>
  <c r="G29" i="26"/>
  <c r="G28" i="26"/>
  <c r="G27" i="26"/>
  <c r="G26" i="26"/>
  <c r="G25" i="26"/>
  <c r="H8" i="9"/>
  <c r="E8" i="9"/>
  <c r="D11" i="9"/>
  <c r="D10" i="9"/>
  <c r="D9" i="9"/>
  <c r="D8" i="9"/>
  <c r="G25" i="2"/>
  <c r="G26" i="2" s="1"/>
  <c r="G24" i="2"/>
  <c r="G23" i="2"/>
  <c r="G22" i="2"/>
  <c r="G44" i="2"/>
  <c r="G43" i="2"/>
  <c r="G42" i="2"/>
  <c r="G41" i="2"/>
  <c r="G40" i="2"/>
  <c r="G39" i="2"/>
  <c r="G38" i="2"/>
  <c r="G37" i="2"/>
  <c r="G36" i="2"/>
  <c r="H154" i="7"/>
  <c r="H153" i="7"/>
  <c r="H152" i="7"/>
  <c r="H151" i="7"/>
  <c r="H150" i="7"/>
  <c r="H149" i="7"/>
  <c r="H148" i="7"/>
  <c r="H147" i="7"/>
  <c r="H146" i="7"/>
  <c r="H145" i="7"/>
  <c r="H144" i="7"/>
  <c r="H143" i="7"/>
  <c r="H142" i="7"/>
  <c r="H141" i="7"/>
  <c r="H140" i="7"/>
  <c r="H139" i="7"/>
  <c r="H138" i="7"/>
  <c r="H137" i="7"/>
  <c r="H136" i="7"/>
  <c r="H135" i="7"/>
  <c r="H134" i="7"/>
  <c r="H133" i="7"/>
  <c r="H132" i="7"/>
  <c r="H131" i="7"/>
  <c r="H130" i="7"/>
  <c r="H129" i="7"/>
  <c r="H128" i="7"/>
  <c r="H127" i="7"/>
  <c r="H126" i="7"/>
  <c r="K189" i="4"/>
  <c r="G159" i="8"/>
  <c r="G158" i="8"/>
  <c r="G157" i="8"/>
  <c r="G156" i="8"/>
  <c r="G155" i="8"/>
  <c r="G154" i="8"/>
  <c r="G153" i="8"/>
  <c r="G152" i="8"/>
  <c r="F159" i="8"/>
  <c r="F158" i="8"/>
  <c r="F157" i="8"/>
  <c r="F156" i="8"/>
  <c r="F155" i="8"/>
  <c r="F154" i="8"/>
  <c r="F153" i="8"/>
  <c r="F152" i="8"/>
  <c r="G142" i="8"/>
  <c r="G141" i="8"/>
  <c r="G140" i="8"/>
  <c r="G139" i="8"/>
  <c r="G138" i="8"/>
  <c r="G137" i="8"/>
  <c r="G136" i="8"/>
  <c r="G135" i="8"/>
  <c r="G134" i="8"/>
  <c r="G133" i="8"/>
  <c r="G132" i="8"/>
  <c r="G131" i="8"/>
  <c r="F142" i="8"/>
  <c r="F141" i="8"/>
  <c r="F140" i="8"/>
  <c r="F139" i="8"/>
  <c r="F138" i="8"/>
  <c r="F137" i="8"/>
  <c r="F136" i="8"/>
  <c r="F135" i="8"/>
  <c r="F134" i="8"/>
  <c r="F133" i="8"/>
  <c r="F132" i="8"/>
  <c r="F131" i="8"/>
  <c r="F121" i="8"/>
  <c r="F120" i="8"/>
  <c r="F119" i="8"/>
  <c r="F118" i="8"/>
  <c r="F117" i="8"/>
  <c r="F116" i="8"/>
  <c r="F115" i="8"/>
  <c r="F114" i="8"/>
  <c r="F113" i="8"/>
  <c r="F104" i="8"/>
  <c r="F103" i="8"/>
  <c r="F102" i="8"/>
  <c r="F101" i="8"/>
  <c r="F92" i="8"/>
  <c r="F91" i="8"/>
  <c r="F90" i="8"/>
  <c r="F89" i="8"/>
  <c r="F88" i="8"/>
  <c r="F79" i="8"/>
  <c r="F78" i="8"/>
  <c r="F77" i="8"/>
  <c r="F76" i="8"/>
  <c r="F75" i="8"/>
  <c r="F74" i="8"/>
  <c r="F73" i="8"/>
  <c r="F72" i="8"/>
  <c r="F71" i="8"/>
  <c r="F70" i="8"/>
  <c r="F29" i="8"/>
  <c r="F28" i="8"/>
  <c r="F27" i="8"/>
  <c r="F26" i="8"/>
  <c r="F25" i="8"/>
  <c r="F24" i="8"/>
  <c r="F23" i="8"/>
  <c r="F22" i="8"/>
  <c r="F21" i="8"/>
  <c r="F20" i="8"/>
  <c r="F19" i="8"/>
  <c r="F10" i="8"/>
  <c r="F9" i="8"/>
  <c r="F8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K8" i="4"/>
  <c r="J19" i="8"/>
  <c r="G29" i="8"/>
  <c r="G79" i="8"/>
  <c r="G78" i="8"/>
  <c r="G77" i="8"/>
  <c r="G76" i="8"/>
  <c r="G75" i="8"/>
  <c r="G74" i="8"/>
  <c r="G73" i="8"/>
  <c r="G72" i="8"/>
  <c r="G71" i="8"/>
  <c r="G70" i="8"/>
  <c r="G92" i="8"/>
  <c r="G93" i="8" s="1"/>
  <c r="G91" i="8"/>
  <c r="G90" i="8"/>
  <c r="G89" i="8"/>
  <c r="G88" i="8"/>
  <c r="J39" i="8"/>
  <c r="G28" i="8"/>
  <c r="G27" i="8"/>
  <c r="G26" i="8"/>
  <c r="G25" i="8"/>
  <c r="G24" i="8"/>
  <c r="G23" i="8"/>
  <c r="G22" i="8"/>
  <c r="G21" i="8"/>
  <c r="G20" i="8"/>
  <c r="G19" i="8"/>
  <c r="G10" i="8"/>
  <c r="G9" i="8"/>
  <c r="G8" i="8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209" i="4" s="1"/>
  <c r="H194" i="4"/>
  <c r="H193" i="4"/>
  <c r="H192" i="4"/>
  <c r="H191" i="4"/>
  <c r="H190" i="4"/>
  <c r="H189" i="4"/>
  <c r="H52" i="4"/>
  <c r="H51" i="4"/>
  <c r="H50" i="4"/>
  <c r="H49" i="4"/>
  <c r="H48" i="4"/>
  <c r="H47" i="4"/>
  <c r="H46" i="4"/>
  <c r="H45" i="4"/>
  <c r="H44" i="4"/>
  <c r="H43" i="4"/>
  <c r="H42" i="4"/>
  <c r="K88" i="4"/>
  <c r="K62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K87" i="4"/>
  <c r="J8" i="22"/>
  <c r="G15" i="22"/>
  <c r="G14" i="22"/>
  <c r="G13" i="22"/>
  <c r="G12" i="22"/>
  <c r="G16" i="22" s="1"/>
  <c r="G11" i="22"/>
  <c r="G10" i="22"/>
  <c r="G9" i="22"/>
  <c r="G8" i="22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L223" i="4"/>
  <c r="L222" i="4"/>
  <c r="L221" i="4"/>
  <c r="L220" i="4"/>
  <c r="L219" i="4"/>
  <c r="K218" i="4"/>
  <c r="L218" i="4"/>
  <c r="H8" i="25"/>
  <c r="H96" i="25"/>
  <c r="H81" i="25"/>
  <c r="H66" i="25"/>
  <c r="H51" i="25"/>
  <c r="H36" i="25"/>
  <c r="H22" i="25"/>
  <c r="H23" i="25"/>
  <c r="H24" i="25"/>
  <c r="H25" i="25"/>
  <c r="H26" i="25"/>
  <c r="H27" i="25"/>
  <c r="H21" i="25"/>
  <c r="H9" i="25"/>
  <c r="H10" i="25"/>
  <c r="H11" i="25"/>
  <c r="H12" i="25"/>
  <c r="F106" i="26"/>
  <c r="E16" i="26"/>
  <c r="D16" i="26"/>
  <c r="C16" i="26"/>
  <c r="J15" i="26"/>
  <c r="G15" i="26"/>
  <c r="F15" i="26"/>
  <c r="J14" i="26"/>
  <c r="G14" i="26"/>
  <c r="F14" i="26"/>
  <c r="J13" i="26"/>
  <c r="G13" i="26"/>
  <c r="F13" i="26"/>
  <c r="I14" i="3"/>
  <c r="I13" i="3"/>
  <c r="I12" i="3"/>
  <c r="I11" i="3"/>
  <c r="I10" i="3"/>
  <c r="I9" i="3"/>
  <c r="I8" i="3"/>
  <c r="L27" i="4"/>
  <c r="F33" i="4"/>
  <c r="E33" i="4"/>
  <c r="D33" i="4"/>
  <c r="C34" i="4" s="1"/>
  <c r="C33" i="4"/>
  <c r="L32" i="4"/>
  <c r="I32" i="4"/>
  <c r="H32" i="4"/>
  <c r="G32" i="4"/>
  <c r="L31" i="4"/>
  <c r="I31" i="4"/>
  <c r="H31" i="4"/>
  <c r="G31" i="4"/>
  <c r="L30" i="4"/>
  <c r="I30" i="4"/>
  <c r="H30" i="4"/>
  <c r="G30" i="4"/>
  <c r="L29" i="4"/>
  <c r="I29" i="4"/>
  <c r="H29" i="4"/>
  <c r="G29" i="4"/>
  <c r="K88" i="8"/>
  <c r="K21" i="8"/>
  <c r="K9" i="8"/>
  <c r="G96" i="25"/>
  <c r="G103" i="25" s="1"/>
  <c r="E103" i="25"/>
  <c r="D103" i="25"/>
  <c r="C103" i="25"/>
  <c r="K102" i="25"/>
  <c r="H102" i="25"/>
  <c r="G102" i="25"/>
  <c r="F102" i="25"/>
  <c r="K101" i="25"/>
  <c r="H101" i="25"/>
  <c r="G101" i="25"/>
  <c r="K100" i="25"/>
  <c r="H100" i="25"/>
  <c r="G100" i="25"/>
  <c r="F100" i="25"/>
  <c r="K99" i="25"/>
  <c r="H99" i="25"/>
  <c r="G99" i="25"/>
  <c r="F99" i="25"/>
  <c r="K98" i="25"/>
  <c r="H98" i="25"/>
  <c r="G98" i="25"/>
  <c r="F98" i="25"/>
  <c r="F103" i="25" s="1"/>
  <c r="K97" i="25"/>
  <c r="H97" i="25"/>
  <c r="G97" i="25"/>
  <c r="F97" i="25"/>
  <c r="K96" i="25"/>
  <c r="F96" i="25"/>
  <c r="F96" i="26"/>
  <c r="E91" i="26"/>
  <c r="D91" i="26"/>
  <c r="G91" i="26" s="1"/>
  <c r="C91" i="26"/>
  <c r="J90" i="26"/>
  <c r="F90" i="26"/>
  <c r="J89" i="26"/>
  <c r="J88" i="26"/>
  <c r="F88" i="26"/>
  <c r="J87" i="26"/>
  <c r="F87" i="26"/>
  <c r="J86" i="26"/>
  <c r="F86" i="26"/>
  <c r="J85" i="26"/>
  <c r="F85" i="26"/>
  <c r="J84" i="26"/>
  <c r="F84" i="26"/>
  <c r="H84" i="26" s="1"/>
  <c r="H85" i="26" s="1"/>
  <c r="H86" i="26" s="1"/>
  <c r="H87" i="26" s="1"/>
  <c r="H88" i="26" s="1"/>
  <c r="H89" i="26" s="1"/>
  <c r="H90" i="26" s="1"/>
  <c r="E76" i="26"/>
  <c r="G76" i="26" s="1"/>
  <c r="D76" i="26"/>
  <c r="C76" i="26"/>
  <c r="J75" i="26"/>
  <c r="F75" i="26"/>
  <c r="J74" i="26"/>
  <c r="J73" i="26"/>
  <c r="F73" i="26"/>
  <c r="J72" i="26"/>
  <c r="F72" i="26"/>
  <c r="J71" i="26"/>
  <c r="F71" i="26"/>
  <c r="J70" i="26"/>
  <c r="F70" i="26"/>
  <c r="F76" i="26" s="1"/>
  <c r="J69" i="26"/>
  <c r="E61" i="26"/>
  <c r="D61" i="26"/>
  <c r="C61" i="26"/>
  <c r="J60" i="26"/>
  <c r="F60" i="26"/>
  <c r="J59" i="26"/>
  <c r="J58" i="26"/>
  <c r="F58" i="26"/>
  <c r="J57" i="26"/>
  <c r="F57" i="26"/>
  <c r="J56" i="26"/>
  <c r="F56" i="26"/>
  <c r="J55" i="26"/>
  <c r="F55" i="26"/>
  <c r="F61" i="26" s="1"/>
  <c r="J54" i="26"/>
  <c r="F54" i="26"/>
  <c r="H54" i="26" s="1"/>
  <c r="E46" i="26"/>
  <c r="D46" i="26"/>
  <c r="C46" i="26"/>
  <c r="G46" i="26" s="1"/>
  <c r="J45" i="26"/>
  <c r="F45" i="26"/>
  <c r="J44" i="26"/>
  <c r="J43" i="26"/>
  <c r="F43" i="26"/>
  <c r="J42" i="26"/>
  <c r="F42" i="26"/>
  <c r="J41" i="26"/>
  <c r="F41" i="26"/>
  <c r="J40" i="26"/>
  <c r="F40" i="26"/>
  <c r="J39" i="26"/>
  <c r="F39" i="26"/>
  <c r="E31" i="26"/>
  <c r="D31" i="26"/>
  <c r="C31" i="26"/>
  <c r="J30" i="26"/>
  <c r="F30" i="26"/>
  <c r="J29" i="26"/>
  <c r="J28" i="26"/>
  <c r="F28" i="26"/>
  <c r="J27" i="26"/>
  <c r="F27" i="26"/>
  <c r="J26" i="26"/>
  <c r="F26" i="26"/>
  <c r="J25" i="26"/>
  <c r="F25" i="26"/>
  <c r="F31" i="26" s="1"/>
  <c r="H32" i="26" s="1"/>
  <c r="J24" i="26"/>
  <c r="G24" i="26"/>
  <c r="G31" i="26" s="1"/>
  <c r="F24" i="26"/>
  <c r="J12" i="26"/>
  <c r="G12" i="26"/>
  <c r="F12" i="26"/>
  <c r="J11" i="26"/>
  <c r="G11" i="26"/>
  <c r="F11" i="26"/>
  <c r="J10" i="26"/>
  <c r="G10" i="26"/>
  <c r="F10" i="26"/>
  <c r="J9" i="26"/>
  <c r="G9" i="26"/>
  <c r="F9" i="26"/>
  <c r="J8" i="26"/>
  <c r="G8" i="26"/>
  <c r="F8" i="26"/>
  <c r="H8" i="26" s="1"/>
  <c r="H9" i="26" s="1"/>
  <c r="H10" i="26" s="1"/>
  <c r="H11" i="26" s="1"/>
  <c r="H12" i="26" s="1"/>
  <c r="H13" i="26" s="1"/>
  <c r="H14" i="26" s="1"/>
  <c r="H15" i="26" s="1"/>
  <c r="A2" i="26"/>
  <c r="E88" i="25"/>
  <c r="D88" i="25"/>
  <c r="C88" i="25"/>
  <c r="K87" i="25"/>
  <c r="H87" i="25"/>
  <c r="G87" i="25"/>
  <c r="F87" i="25"/>
  <c r="K86" i="25"/>
  <c r="H86" i="25"/>
  <c r="G86" i="25"/>
  <c r="K85" i="25"/>
  <c r="H85" i="25"/>
  <c r="G85" i="25"/>
  <c r="F85" i="25"/>
  <c r="K84" i="25"/>
  <c r="H84" i="25"/>
  <c r="G84" i="25"/>
  <c r="F84" i="25"/>
  <c r="K83" i="25"/>
  <c r="H83" i="25"/>
  <c r="G83" i="25"/>
  <c r="F83" i="25"/>
  <c r="K82" i="25"/>
  <c r="H82" i="25"/>
  <c r="G82" i="25"/>
  <c r="F82" i="25"/>
  <c r="K81" i="25"/>
  <c r="G81" i="25"/>
  <c r="G88" i="25" s="1"/>
  <c r="F81" i="25"/>
  <c r="F88" i="25" s="1"/>
  <c r="E73" i="25"/>
  <c r="D73" i="25"/>
  <c r="C73" i="25"/>
  <c r="K72" i="25"/>
  <c r="H72" i="25"/>
  <c r="G72" i="25"/>
  <c r="F72" i="25"/>
  <c r="K71" i="25"/>
  <c r="H71" i="25"/>
  <c r="G71" i="25"/>
  <c r="K70" i="25"/>
  <c r="H70" i="25"/>
  <c r="G70" i="25"/>
  <c r="F70" i="25"/>
  <c r="K69" i="25"/>
  <c r="H69" i="25"/>
  <c r="G69" i="25"/>
  <c r="F69" i="25"/>
  <c r="K68" i="25"/>
  <c r="H68" i="25"/>
  <c r="G68" i="25"/>
  <c r="F68" i="25"/>
  <c r="K67" i="25"/>
  <c r="H67" i="25"/>
  <c r="G67" i="25"/>
  <c r="F67" i="25"/>
  <c r="K66" i="25"/>
  <c r="G66" i="25"/>
  <c r="G73" i="25"/>
  <c r="F66" i="25"/>
  <c r="F73" i="25"/>
  <c r="G12" i="25"/>
  <c r="G11" i="25"/>
  <c r="G10" i="25"/>
  <c r="G9" i="25"/>
  <c r="G8" i="25"/>
  <c r="G13" i="25" s="1"/>
  <c r="F121" i="25" s="1"/>
  <c r="G27" i="25"/>
  <c r="G26" i="25"/>
  <c r="G25" i="25"/>
  <c r="G28" i="25" s="1"/>
  <c r="G24" i="25"/>
  <c r="G23" i="25"/>
  <c r="G22" i="25"/>
  <c r="G21" i="25"/>
  <c r="G42" i="25"/>
  <c r="G41" i="25"/>
  <c r="G40" i="25"/>
  <c r="G39" i="25"/>
  <c r="G38" i="25"/>
  <c r="G37" i="25"/>
  <c r="G36" i="25"/>
  <c r="G57" i="25"/>
  <c r="G56" i="25"/>
  <c r="G55" i="25"/>
  <c r="G54" i="25"/>
  <c r="G53" i="25"/>
  <c r="G52" i="25"/>
  <c r="G51" i="25"/>
  <c r="E58" i="25"/>
  <c r="D58" i="25"/>
  <c r="C58" i="25"/>
  <c r="K57" i="25"/>
  <c r="H57" i="25"/>
  <c r="F57" i="25"/>
  <c r="K56" i="25"/>
  <c r="H56" i="25"/>
  <c r="K55" i="25"/>
  <c r="H55" i="25"/>
  <c r="F55" i="25"/>
  <c r="K54" i="25"/>
  <c r="H54" i="25"/>
  <c r="F54" i="25"/>
  <c r="K53" i="25"/>
  <c r="H53" i="25"/>
  <c r="F53" i="25"/>
  <c r="K52" i="25"/>
  <c r="H52" i="25"/>
  <c r="F52" i="25"/>
  <c r="K51" i="25"/>
  <c r="G58" i="25"/>
  <c r="F51" i="25"/>
  <c r="E43" i="25"/>
  <c r="D43" i="25"/>
  <c r="C43" i="25"/>
  <c r="K42" i="25"/>
  <c r="H42" i="25"/>
  <c r="F42" i="25"/>
  <c r="K41" i="25"/>
  <c r="H41" i="25"/>
  <c r="K40" i="25"/>
  <c r="H40" i="25"/>
  <c r="F40" i="25"/>
  <c r="K39" i="25"/>
  <c r="H39" i="25"/>
  <c r="F39" i="25"/>
  <c r="K38" i="25"/>
  <c r="H38" i="25"/>
  <c r="F38" i="25"/>
  <c r="K37" i="25"/>
  <c r="H37" i="25"/>
  <c r="F37" i="25"/>
  <c r="K36" i="25"/>
  <c r="G43" i="25"/>
  <c r="F36" i="25"/>
  <c r="E28" i="25"/>
  <c r="D28" i="25"/>
  <c r="C28" i="25"/>
  <c r="K27" i="25"/>
  <c r="F27" i="25"/>
  <c r="K26" i="25"/>
  <c r="K25" i="25"/>
  <c r="F25" i="25"/>
  <c r="K24" i="25"/>
  <c r="F24" i="25"/>
  <c r="K23" i="25"/>
  <c r="F23" i="25"/>
  <c r="K22" i="25"/>
  <c r="F22" i="25"/>
  <c r="K21" i="25"/>
  <c r="F21" i="25"/>
  <c r="F109" i="25"/>
  <c r="E13" i="25"/>
  <c r="D13" i="25"/>
  <c r="C13" i="25"/>
  <c r="K12" i="25"/>
  <c r="F12" i="25"/>
  <c r="K11" i="25"/>
  <c r="F11" i="25"/>
  <c r="K10" i="25"/>
  <c r="F10" i="25"/>
  <c r="K9" i="25"/>
  <c r="F9" i="25"/>
  <c r="F13" i="25" s="1"/>
  <c r="F111" i="25" s="1"/>
  <c r="F115" i="25" s="1"/>
  <c r="K8" i="25"/>
  <c r="F8" i="25"/>
  <c r="A2" i="25"/>
  <c r="G8" i="23"/>
  <c r="G35" i="20"/>
  <c r="G34" i="20"/>
  <c r="G33" i="20"/>
  <c r="G32" i="20"/>
  <c r="G31" i="20"/>
  <c r="G30" i="20"/>
  <c r="G29" i="20"/>
  <c r="G36" i="20" s="1"/>
  <c r="G28" i="20"/>
  <c r="G66" i="2"/>
  <c r="G65" i="2"/>
  <c r="G64" i="2"/>
  <c r="L28" i="4"/>
  <c r="I28" i="4"/>
  <c r="H28" i="4"/>
  <c r="G28" i="4"/>
  <c r="I27" i="4"/>
  <c r="H27" i="4"/>
  <c r="G27" i="4"/>
  <c r="L26" i="4"/>
  <c r="I26" i="4"/>
  <c r="H26" i="4"/>
  <c r="G26" i="4"/>
  <c r="L25" i="4"/>
  <c r="I25" i="4"/>
  <c r="H25" i="4"/>
  <c r="G25" i="4"/>
  <c r="L24" i="4"/>
  <c r="I24" i="4"/>
  <c r="H24" i="4"/>
  <c r="G24" i="4"/>
  <c r="L23" i="4"/>
  <c r="I23" i="4"/>
  <c r="H23" i="4"/>
  <c r="G23" i="4"/>
  <c r="L22" i="4"/>
  <c r="I22" i="4"/>
  <c r="H22" i="4"/>
  <c r="G22" i="4"/>
  <c r="L21" i="4"/>
  <c r="I21" i="4"/>
  <c r="H21" i="4"/>
  <c r="G21" i="4"/>
  <c r="K40" i="8"/>
  <c r="K156" i="8"/>
  <c r="G52" i="13"/>
  <c r="G51" i="13"/>
  <c r="G50" i="13"/>
  <c r="G53" i="13" s="1"/>
  <c r="G49" i="13"/>
  <c r="G48" i="13"/>
  <c r="G47" i="13"/>
  <c r="G46" i="13"/>
  <c r="L195" i="4"/>
  <c r="G35" i="2"/>
  <c r="G45" i="2" s="1"/>
  <c r="L96" i="4"/>
  <c r="L69" i="4"/>
  <c r="G18" i="20"/>
  <c r="G17" i="20"/>
  <c r="G16" i="20"/>
  <c r="G15" i="20"/>
  <c r="G14" i="20"/>
  <c r="G13" i="20"/>
  <c r="G12" i="20"/>
  <c r="G11" i="20"/>
  <c r="G10" i="20"/>
  <c r="G9" i="20"/>
  <c r="G8" i="20"/>
  <c r="G19" i="20" s="1"/>
  <c r="L194" i="4"/>
  <c r="L135" i="7"/>
  <c r="K20" i="8"/>
  <c r="L16" i="4"/>
  <c r="L95" i="4"/>
  <c r="L67" i="4"/>
  <c r="L134" i="7"/>
  <c r="L142" i="4"/>
  <c r="K92" i="13"/>
  <c r="G98" i="13"/>
  <c r="G97" i="13"/>
  <c r="G96" i="13"/>
  <c r="G95" i="13"/>
  <c r="G94" i="13"/>
  <c r="G93" i="13"/>
  <c r="G92" i="13"/>
  <c r="K62" i="13"/>
  <c r="K77" i="2"/>
  <c r="L33" i="7"/>
  <c r="L15" i="4"/>
  <c r="I24" i="3"/>
  <c r="L141" i="4"/>
  <c r="L94" i="4"/>
  <c r="L193" i="4"/>
  <c r="L133" i="7"/>
  <c r="I9" i="9"/>
  <c r="L66" i="4"/>
  <c r="K135" i="8"/>
  <c r="K113" i="8"/>
  <c r="L14" i="4"/>
  <c r="L140" i="4"/>
  <c r="L93" i="4"/>
  <c r="L92" i="4"/>
  <c r="L65" i="4"/>
  <c r="L192" i="4"/>
  <c r="L132" i="7"/>
  <c r="L82" i="7"/>
  <c r="L13" i="4"/>
  <c r="I24" i="9"/>
  <c r="L91" i="4"/>
  <c r="I23" i="9"/>
  <c r="L169" i="4"/>
  <c r="G21" i="2"/>
  <c r="L139" i="4"/>
  <c r="L12" i="4"/>
  <c r="K76" i="2"/>
  <c r="L32" i="7"/>
  <c r="L90" i="4"/>
  <c r="G29" i="24"/>
  <c r="G42" i="24"/>
  <c r="K27" i="13"/>
  <c r="L11" i="4"/>
  <c r="L41" i="4"/>
  <c r="F20" i="24"/>
  <c r="F19" i="24"/>
  <c r="F18" i="24"/>
  <c r="F17" i="24"/>
  <c r="F16" i="24"/>
  <c r="F15" i="24"/>
  <c r="F14" i="24"/>
  <c r="F13" i="24"/>
  <c r="F12" i="24"/>
  <c r="F11" i="24"/>
  <c r="F10" i="24"/>
  <c r="F21" i="24" s="1"/>
  <c r="H12" i="16" s="1"/>
  <c r="F9" i="24"/>
  <c r="K8" i="24"/>
  <c r="L164" i="7"/>
  <c r="L131" i="7"/>
  <c r="L191" i="4"/>
  <c r="K75" i="2"/>
  <c r="G81" i="2"/>
  <c r="G80" i="2"/>
  <c r="G79" i="2"/>
  <c r="G78" i="2"/>
  <c r="G77" i="2"/>
  <c r="G76" i="2"/>
  <c r="G75" i="2"/>
  <c r="L89" i="4"/>
  <c r="I8" i="9"/>
  <c r="E13" i="9"/>
  <c r="E12" i="9"/>
  <c r="E11" i="9"/>
  <c r="E10" i="9"/>
  <c r="E9" i="9"/>
  <c r="L130" i="7"/>
  <c r="L190" i="4"/>
  <c r="L10" i="4"/>
  <c r="K134" i="8"/>
  <c r="L9" i="4"/>
  <c r="L8" i="4"/>
  <c r="K133" i="8"/>
  <c r="I38" i="9"/>
  <c r="K154" i="8"/>
  <c r="L129" i="7"/>
  <c r="L81" i="7"/>
  <c r="L80" i="7"/>
  <c r="K19" i="8"/>
  <c r="L88" i="4"/>
  <c r="L63" i="4"/>
  <c r="L138" i="4"/>
  <c r="L87" i="4"/>
  <c r="L128" i="7"/>
  <c r="K8" i="22"/>
  <c r="L62" i="4"/>
  <c r="K153" i="8"/>
  <c r="K152" i="8"/>
  <c r="I37" i="9"/>
  <c r="L127" i="7"/>
  <c r="H129" i="4"/>
  <c r="H62" i="4"/>
  <c r="H78" i="4"/>
  <c r="H4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I36" i="9"/>
  <c r="E42" i="9"/>
  <c r="E41" i="9"/>
  <c r="E40" i="9"/>
  <c r="E39" i="9"/>
  <c r="E38" i="9"/>
  <c r="E37" i="9"/>
  <c r="E36" i="9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121" i="8"/>
  <c r="G120" i="8"/>
  <c r="G119" i="8"/>
  <c r="G118" i="8"/>
  <c r="G117" i="8"/>
  <c r="G116" i="8"/>
  <c r="G115" i="8"/>
  <c r="G114" i="8"/>
  <c r="G113" i="8"/>
  <c r="G160" i="8"/>
  <c r="L126" i="7"/>
  <c r="L189" i="4"/>
  <c r="H207" i="7"/>
  <c r="H206" i="7"/>
  <c r="H205" i="7"/>
  <c r="H204" i="7"/>
  <c r="H203" i="7"/>
  <c r="H202" i="7"/>
  <c r="H201" i="7"/>
  <c r="H200" i="7"/>
  <c r="H199" i="7"/>
  <c r="H198" i="7"/>
  <c r="H170" i="7"/>
  <c r="H169" i="7"/>
  <c r="H168" i="7"/>
  <c r="H167" i="7"/>
  <c r="H166" i="7"/>
  <c r="H165" i="7"/>
  <c r="H164" i="7"/>
  <c r="H155" i="7"/>
  <c r="H115" i="7"/>
  <c r="H114" i="7"/>
  <c r="H113" i="7"/>
  <c r="H112" i="7"/>
  <c r="H111" i="7"/>
  <c r="H110" i="7"/>
  <c r="H109" i="7"/>
  <c r="H108" i="7"/>
  <c r="H116" i="7"/>
  <c r="H69" i="7"/>
  <c r="H68" i="7"/>
  <c r="H67" i="7"/>
  <c r="H66" i="7"/>
  <c r="H65" i="7"/>
  <c r="H64" i="7"/>
  <c r="H63" i="7"/>
  <c r="H62" i="7"/>
  <c r="H61" i="7"/>
  <c r="H60" i="7"/>
  <c r="H70" i="7" s="1"/>
  <c r="H5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49" i="7" s="1"/>
  <c r="H29" i="7"/>
  <c r="K132" i="8"/>
  <c r="K131" i="8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K136" i="8"/>
  <c r="L168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L45" i="7"/>
  <c r="K76" i="8"/>
  <c r="K32" i="20"/>
  <c r="K41" i="2"/>
  <c r="L117" i="4"/>
  <c r="G116" i="4"/>
  <c r="L206" i="4"/>
  <c r="L153" i="4"/>
  <c r="L144" i="7"/>
  <c r="K40" i="2"/>
  <c r="L91" i="7"/>
  <c r="L43" i="4"/>
  <c r="L44" i="7"/>
  <c r="F49" i="7"/>
  <c r="E49" i="7"/>
  <c r="D49" i="7"/>
  <c r="C49" i="7"/>
  <c r="L48" i="7"/>
  <c r="I48" i="7"/>
  <c r="G48" i="7"/>
  <c r="L47" i="7"/>
  <c r="I47" i="7"/>
  <c r="G47" i="7"/>
  <c r="L46" i="7"/>
  <c r="I46" i="7"/>
  <c r="G46" i="7"/>
  <c r="I45" i="7"/>
  <c r="G45" i="7"/>
  <c r="K75" i="8"/>
  <c r="M29" i="3"/>
  <c r="K39" i="2"/>
  <c r="L152" i="4"/>
  <c r="K13" i="23"/>
  <c r="K11" i="23"/>
  <c r="L165" i="7"/>
  <c r="I116" i="4"/>
  <c r="L116" i="4"/>
  <c r="L205" i="4"/>
  <c r="L43" i="7"/>
  <c r="L204" i="4"/>
  <c r="L142" i="7"/>
  <c r="M28" i="3"/>
  <c r="K38" i="2"/>
  <c r="L42" i="7"/>
  <c r="L141" i="7"/>
  <c r="L203" i="4"/>
  <c r="K12" i="22"/>
  <c r="K11" i="22"/>
  <c r="K10" i="22"/>
  <c r="E26" i="9"/>
  <c r="E25" i="9"/>
  <c r="E24" i="9"/>
  <c r="E23" i="9"/>
  <c r="E27" i="9" s="1"/>
  <c r="E30" i="8"/>
  <c r="D30" i="8"/>
  <c r="C30" i="8"/>
  <c r="K29" i="8"/>
  <c r="H29" i="8"/>
  <c r="K28" i="8"/>
  <c r="H28" i="8"/>
  <c r="K27" i="8"/>
  <c r="H27" i="8"/>
  <c r="K26" i="8"/>
  <c r="H26" i="8"/>
  <c r="H188" i="7"/>
  <c r="H187" i="7"/>
  <c r="H186" i="7"/>
  <c r="H185" i="7"/>
  <c r="H184" i="7"/>
  <c r="H183" i="7"/>
  <c r="H182" i="7"/>
  <c r="H181" i="7"/>
  <c r="H180" i="7"/>
  <c r="F98" i="7"/>
  <c r="E98" i="7"/>
  <c r="D98" i="7"/>
  <c r="C98" i="7"/>
  <c r="L97" i="7"/>
  <c r="I97" i="7"/>
  <c r="G97" i="7"/>
  <c r="L96" i="7"/>
  <c r="I96" i="7"/>
  <c r="G96" i="7"/>
  <c r="L95" i="7"/>
  <c r="I95" i="7"/>
  <c r="G95" i="7"/>
  <c r="L94" i="7"/>
  <c r="I94" i="7"/>
  <c r="G94" i="7"/>
  <c r="L93" i="7"/>
  <c r="I93" i="7"/>
  <c r="G93" i="7"/>
  <c r="L92" i="7"/>
  <c r="I92" i="7"/>
  <c r="G92" i="7"/>
  <c r="L41" i="7"/>
  <c r="H19" i="7"/>
  <c r="H18" i="7"/>
  <c r="H17" i="7"/>
  <c r="H16" i="7"/>
  <c r="H15" i="7"/>
  <c r="H14" i="7"/>
  <c r="H13" i="7"/>
  <c r="H12" i="7"/>
  <c r="H11" i="7"/>
  <c r="H10" i="7"/>
  <c r="H9" i="7"/>
  <c r="G12" i="2"/>
  <c r="G13" i="2" s="1"/>
  <c r="K5" i="15" s="1"/>
  <c r="G11" i="2"/>
  <c r="G10" i="2"/>
  <c r="G9" i="2"/>
  <c r="G8" i="2"/>
  <c r="L202" i="4"/>
  <c r="L201" i="4"/>
  <c r="F209" i="4"/>
  <c r="E209" i="4"/>
  <c r="D209" i="4"/>
  <c r="C209" i="4"/>
  <c r="L208" i="4"/>
  <c r="I208" i="4"/>
  <c r="G208" i="4"/>
  <c r="L207" i="4"/>
  <c r="I207" i="4"/>
  <c r="G207" i="4"/>
  <c r="I206" i="4"/>
  <c r="G206" i="4"/>
  <c r="I205" i="4"/>
  <c r="G205" i="4"/>
  <c r="I204" i="4"/>
  <c r="G204" i="4"/>
  <c r="L115" i="4"/>
  <c r="K23" i="8"/>
  <c r="L59" i="7"/>
  <c r="L60" i="7"/>
  <c r="K30" i="20"/>
  <c r="M27" i="3"/>
  <c r="L151" i="4"/>
  <c r="K115" i="8"/>
  <c r="L109" i="7"/>
  <c r="L114" i="4"/>
  <c r="L150" i="4"/>
  <c r="L113" i="4"/>
  <c r="K10" i="8"/>
  <c r="E14" i="9"/>
  <c r="K9" i="20"/>
  <c r="L71" i="4"/>
  <c r="L72" i="4"/>
  <c r="L89" i="7"/>
  <c r="L88" i="7"/>
  <c r="L90" i="7"/>
  <c r="K78" i="2"/>
  <c r="L111" i="4"/>
  <c r="L149" i="4"/>
  <c r="K74" i="8"/>
  <c r="K137" i="8"/>
  <c r="K114" i="8"/>
  <c r="K42" i="8"/>
  <c r="K41" i="8"/>
  <c r="K71" i="8"/>
  <c r="M26" i="3"/>
  <c r="K73" i="8"/>
  <c r="K37" i="2"/>
  <c r="L173" i="4"/>
  <c r="L139" i="7"/>
  <c r="L110" i="4"/>
  <c r="L105" i="4"/>
  <c r="L109" i="4"/>
  <c r="L200" i="4"/>
  <c r="L138" i="7"/>
  <c r="L148" i="4"/>
  <c r="F44" i="16"/>
  <c r="F12" i="16"/>
  <c r="L42" i="4"/>
  <c r="L108" i="4"/>
  <c r="L171" i="4"/>
  <c r="L87" i="7"/>
  <c r="L38" i="7"/>
  <c r="L40" i="7"/>
  <c r="L103" i="4"/>
  <c r="L107" i="4"/>
  <c r="L170" i="4"/>
  <c r="L172" i="4"/>
  <c r="L137" i="7"/>
  <c r="L70" i="4"/>
  <c r="K43" i="8"/>
  <c r="L147" i="4"/>
  <c r="K29" i="20"/>
  <c r="K28" i="20"/>
  <c r="L146" i="4"/>
  <c r="E82" i="2"/>
  <c r="D82" i="2"/>
  <c r="C82" i="2"/>
  <c r="K81" i="2"/>
  <c r="H81" i="2"/>
  <c r="F81" i="2"/>
  <c r="K80" i="2"/>
  <c r="H80" i="2"/>
  <c r="F80" i="2"/>
  <c r="K79" i="2"/>
  <c r="H79" i="2"/>
  <c r="F79" i="2"/>
  <c r="H78" i="2"/>
  <c r="F78" i="2"/>
  <c r="I44" i="7"/>
  <c r="G44" i="7"/>
  <c r="I43" i="7"/>
  <c r="G43" i="7"/>
  <c r="I42" i="7"/>
  <c r="G42" i="7"/>
  <c r="I41" i="7"/>
  <c r="G41" i="7"/>
  <c r="I40" i="7"/>
  <c r="G40" i="7"/>
  <c r="K31" i="24"/>
  <c r="L198" i="4"/>
  <c r="I91" i="7"/>
  <c r="G91" i="7"/>
  <c r="I90" i="7"/>
  <c r="G90" i="7"/>
  <c r="I89" i="7"/>
  <c r="G89" i="7"/>
  <c r="I88" i="7"/>
  <c r="G88" i="7"/>
  <c r="I87" i="7"/>
  <c r="G87" i="7"/>
  <c r="I86" i="7"/>
  <c r="G86" i="7"/>
  <c r="L68" i="4"/>
  <c r="L99" i="4"/>
  <c r="L98" i="4"/>
  <c r="L143" i="4"/>
  <c r="I37" i="3"/>
  <c r="K43" i="16" s="1"/>
  <c r="L158" i="4"/>
  <c r="I158" i="4"/>
  <c r="G158" i="4"/>
  <c r="L157" i="4"/>
  <c r="I157" i="4"/>
  <c r="G157" i="4"/>
  <c r="L156" i="4"/>
  <c r="I156" i="4"/>
  <c r="G156" i="4"/>
  <c r="L155" i="4"/>
  <c r="I155" i="4"/>
  <c r="G155" i="4"/>
  <c r="G240" i="4"/>
  <c r="G239" i="4"/>
  <c r="G238" i="4"/>
  <c r="G163" i="8"/>
  <c r="K6" i="15"/>
  <c r="H104" i="8"/>
  <c r="H103" i="8"/>
  <c r="G104" i="8"/>
  <c r="G103" i="8"/>
  <c r="G102" i="8"/>
  <c r="G101" i="8"/>
  <c r="H92" i="8"/>
  <c r="H91" i="8"/>
  <c r="H90" i="8"/>
  <c r="H89" i="8"/>
  <c r="L20" i="4"/>
  <c r="I20" i="4"/>
  <c r="G20" i="4"/>
  <c r="L19" i="4"/>
  <c r="I19" i="4"/>
  <c r="G19" i="4"/>
  <c r="L18" i="4"/>
  <c r="I18" i="4"/>
  <c r="I33" i="4" s="1"/>
  <c r="G18" i="4"/>
  <c r="L17" i="4"/>
  <c r="I17" i="4"/>
  <c r="G17" i="4"/>
  <c r="I16" i="4"/>
  <c r="G16" i="4"/>
  <c r="I15" i="4"/>
  <c r="G15" i="4"/>
  <c r="I14" i="4"/>
  <c r="G14" i="4"/>
  <c r="I13" i="4"/>
  <c r="G13" i="4"/>
  <c r="I12" i="4"/>
  <c r="G12" i="4"/>
  <c r="I11" i="4"/>
  <c r="G11" i="4"/>
  <c r="G33" i="4" s="1"/>
  <c r="I10" i="4"/>
  <c r="G10" i="4"/>
  <c r="I9" i="4"/>
  <c r="G9" i="4"/>
  <c r="I8" i="4"/>
  <c r="J8" i="4"/>
  <c r="J9" i="4" s="1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G8" i="4"/>
  <c r="F9" i="9"/>
  <c r="C159" i="4"/>
  <c r="D159" i="4"/>
  <c r="E159" i="4"/>
  <c r="F159" i="4"/>
  <c r="F189" i="7"/>
  <c r="E189" i="7"/>
  <c r="D189" i="7"/>
  <c r="C189" i="7"/>
  <c r="F171" i="7"/>
  <c r="E171" i="7"/>
  <c r="D171" i="7"/>
  <c r="C171" i="7"/>
  <c r="L154" i="7"/>
  <c r="F155" i="7"/>
  <c r="E155" i="7"/>
  <c r="D155" i="7"/>
  <c r="C155" i="7"/>
  <c r="I154" i="7"/>
  <c r="G154" i="7"/>
  <c r="L153" i="7"/>
  <c r="I153" i="7"/>
  <c r="G153" i="7"/>
  <c r="L152" i="7"/>
  <c r="I152" i="7"/>
  <c r="G152" i="7"/>
  <c r="L151" i="7"/>
  <c r="I151" i="7"/>
  <c r="G151" i="7"/>
  <c r="L150" i="7"/>
  <c r="I150" i="7"/>
  <c r="G150" i="7"/>
  <c r="F29" i="24"/>
  <c r="F30" i="24"/>
  <c r="F31" i="24"/>
  <c r="F32" i="24"/>
  <c r="F33" i="24"/>
  <c r="F34" i="24"/>
  <c r="F35" i="24"/>
  <c r="F36" i="24"/>
  <c r="F37" i="24"/>
  <c r="F38" i="24"/>
  <c r="F39" i="24"/>
  <c r="F40" i="24"/>
  <c r="F41" i="24"/>
  <c r="C143" i="8"/>
  <c r="D143" i="8"/>
  <c r="E143" i="8"/>
  <c r="K142" i="8"/>
  <c r="H142" i="8"/>
  <c r="K141" i="8"/>
  <c r="H141" i="8"/>
  <c r="K140" i="8"/>
  <c r="H140" i="8"/>
  <c r="K139" i="8"/>
  <c r="H139" i="8"/>
  <c r="K138" i="8"/>
  <c r="H138" i="8"/>
  <c r="H137" i="8"/>
  <c r="C122" i="8"/>
  <c r="D122" i="8"/>
  <c r="E122" i="8"/>
  <c r="K121" i="8"/>
  <c r="H121" i="8"/>
  <c r="K120" i="8"/>
  <c r="H120" i="8"/>
  <c r="K119" i="8"/>
  <c r="H119" i="8"/>
  <c r="K118" i="8"/>
  <c r="H118" i="8"/>
  <c r="K117" i="8"/>
  <c r="H117" i="8"/>
  <c r="L149" i="7"/>
  <c r="I149" i="7"/>
  <c r="G149" i="7"/>
  <c r="L148" i="7"/>
  <c r="I148" i="7"/>
  <c r="G148" i="7"/>
  <c r="L147" i="7"/>
  <c r="I147" i="7"/>
  <c r="G147" i="7"/>
  <c r="L146" i="7"/>
  <c r="I146" i="7"/>
  <c r="G146" i="7"/>
  <c r="L145" i="7"/>
  <c r="I145" i="7"/>
  <c r="G145" i="7"/>
  <c r="I144" i="7"/>
  <c r="G144" i="7"/>
  <c r="H240" i="4"/>
  <c r="H239" i="4"/>
  <c r="H238" i="4"/>
  <c r="H237" i="4"/>
  <c r="F241" i="4"/>
  <c r="E241" i="4"/>
  <c r="D241" i="4"/>
  <c r="C241" i="4"/>
  <c r="L154" i="4"/>
  <c r="I154" i="4"/>
  <c r="G154" i="4"/>
  <c r="I153" i="4"/>
  <c r="G153" i="4"/>
  <c r="I152" i="4"/>
  <c r="G152" i="4"/>
  <c r="I151" i="4"/>
  <c r="G151" i="4"/>
  <c r="I150" i="4"/>
  <c r="G150" i="4"/>
  <c r="I203" i="4"/>
  <c r="G203" i="4"/>
  <c r="I202" i="4"/>
  <c r="G202" i="4"/>
  <c r="I201" i="4"/>
  <c r="G201" i="4"/>
  <c r="I200" i="4"/>
  <c r="G200" i="4"/>
  <c r="L199" i="4"/>
  <c r="I199" i="4"/>
  <c r="G199" i="4"/>
  <c r="I198" i="4"/>
  <c r="G198" i="4"/>
  <c r="L39" i="7"/>
  <c r="I39" i="7"/>
  <c r="G39" i="7"/>
  <c r="I38" i="7"/>
  <c r="G38" i="7"/>
  <c r="L37" i="7"/>
  <c r="I37" i="7"/>
  <c r="G37" i="7"/>
  <c r="L36" i="7"/>
  <c r="I36" i="7"/>
  <c r="G36" i="7"/>
  <c r="E45" i="2"/>
  <c r="D45" i="2"/>
  <c r="C45" i="2"/>
  <c r="K44" i="2"/>
  <c r="H44" i="2"/>
  <c r="F44" i="2"/>
  <c r="K43" i="2"/>
  <c r="H43" i="2"/>
  <c r="F43" i="2"/>
  <c r="K42" i="2"/>
  <c r="H42" i="2"/>
  <c r="F42" i="2"/>
  <c r="H41" i="2"/>
  <c r="F41" i="2"/>
  <c r="L237" i="4"/>
  <c r="I237" i="4"/>
  <c r="G237" i="4"/>
  <c r="L236" i="4"/>
  <c r="I236" i="4"/>
  <c r="J236" i="4"/>
  <c r="J237" i="4" s="1"/>
  <c r="J238" i="4" s="1"/>
  <c r="J239" i="4" s="1"/>
  <c r="J240" i="4" s="1"/>
  <c r="H236" i="4"/>
  <c r="H241" i="4"/>
  <c r="G236" i="4"/>
  <c r="G241" i="4"/>
  <c r="G21" i="22"/>
  <c r="G41" i="3"/>
  <c r="G45" i="24"/>
  <c r="C160" i="8"/>
  <c r="D160" i="8"/>
  <c r="K159" i="8"/>
  <c r="H159" i="8"/>
  <c r="K158" i="8"/>
  <c r="H158" i="8"/>
  <c r="K157" i="8"/>
  <c r="H157" i="8"/>
  <c r="H156" i="8"/>
  <c r="K155" i="8"/>
  <c r="H155" i="8"/>
  <c r="G102" i="13"/>
  <c r="G42" i="21"/>
  <c r="E99" i="13"/>
  <c r="D99" i="13"/>
  <c r="C99" i="13"/>
  <c r="K98" i="13"/>
  <c r="H98" i="13"/>
  <c r="F98" i="13"/>
  <c r="K97" i="13"/>
  <c r="H97" i="13"/>
  <c r="F97" i="13"/>
  <c r="K96" i="13"/>
  <c r="H96" i="13"/>
  <c r="F96" i="13"/>
  <c r="K95" i="13"/>
  <c r="H95" i="13"/>
  <c r="F95" i="13"/>
  <c r="K94" i="13"/>
  <c r="H94" i="13"/>
  <c r="F94" i="13"/>
  <c r="K93" i="13"/>
  <c r="H93" i="13"/>
  <c r="F93" i="13"/>
  <c r="H92" i="13"/>
  <c r="G99" i="13"/>
  <c r="F92" i="13"/>
  <c r="G225" i="7"/>
  <c r="C105" i="8"/>
  <c r="D105" i="8"/>
  <c r="E105" i="8"/>
  <c r="E93" i="8"/>
  <c r="D93" i="8"/>
  <c r="G51" i="15" s="1"/>
  <c r="E84" i="13"/>
  <c r="D84" i="13"/>
  <c r="C84" i="13"/>
  <c r="K83" i="13"/>
  <c r="H83" i="13"/>
  <c r="G83" i="13"/>
  <c r="F83" i="13"/>
  <c r="K82" i="13"/>
  <c r="H82" i="13"/>
  <c r="G82" i="13"/>
  <c r="F82" i="13"/>
  <c r="K81" i="13"/>
  <c r="H81" i="13"/>
  <c r="G81" i="13"/>
  <c r="F81" i="13"/>
  <c r="K80" i="13"/>
  <c r="H80" i="13"/>
  <c r="G80" i="13"/>
  <c r="F80" i="13"/>
  <c r="K79" i="13"/>
  <c r="H79" i="13"/>
  <c r="G79" i="13"/>
  <c r="F79" i="13"/>
  <c r="F84" i="13" s="1"/>
  <c r="K78" i="13"/>
  <c r="H78" i="13"/>
  <c r="G78" i="13"/>
  <c r="F78" i="13"/>
  <c r="K77" i="13"/>
  <c r="H77" i="13"/>
  <c r="H84" i="13" s="1"/>
  <c r="H85" i="13" s="1"/>
  <c r="G77" i="13"/>
  <c r="G84" i="13"/>
  <c r="F77" i="13"/>
  <c r="G87" i="2"/>
  <c r="H77" i="2"/>
  <c r="F77" i="2"/>
  <c r="H76" i="2"/>
  <c r="F76" i="2"/>
  <c r="H75" i="2"/>
  <c r="H82" i="2" s="1"/>
  <c r="F75" i="2"/>
  <c r="H221" i="7"/>
  <c r="H220" i="7"/>
  <c r="H219" i="7"/>
  <c r="H218" i="7"/>
  <c r="H217" i="7"/>
  <c r="E37" i="18"/>
  <c r="E36" i="18"/>
  <c r="E35" i="18"/>
  <c r="E34" i="18"/>
  <c r="E12" i="18"/>
  <c r="E11" i="18"/>
  <c r="E10" i="18"/>
  <c r="E9" i="18"/>
  <c r="F37" i="3"/>
  <c r="E37" i="3"/>
  <c r="M36" i="3"/>
  <c r="J36" i="3"/>
  <c r="M35" i="3"/>
  <c r="J35" i="3"/>
  <c r="F180" i="4"/>
  <c r="E180" i="4"/>
  <c r="D180" i="4"/>
  <c r="C180" i="4"/>
  <c r="C181" i="4" s="1"/>
  <c r="I264" i="4" s="1"/>
  <c r="L179" i="4"/>
  <c r="I179" i="4"/>
  <c r="G179" i="4"/>
  <c r="L178" i="4"/>
  <c r="I178" i="4"/>
  <c r="G178" i="4"/>
  <c r="L177" i="4"/>
  <c r="I177" i="4"/>
  <c r="G177" i="4"/>
  <c r="F78" i="4"/>
  <c r="E78" i="4"/>
  <c r="D78" i="4"/>
  <c r="C78" i="4"/>
  <c r="L77" i="4"/>
  <c r="I77" i="4"/>
  <c r="G77" i="4"/>
  <c r="L76" i="4"/>
  <c r="I76" i="4"/>
  <c r="G76" i="4"/>
  <c r="L75" i="4"/>
  <c r="I75" i="4"/>
  <c r="G75" i="4"/>
  <c r="G190" i="4"/>
  <c r="I190" i="4"/>
  <c r="G191" i="4"/>
  <c r="I191" i="4"/>
  <c r="G218" i="4"/>
  <c r="I218" i="4"/>
  <c r="I149" i="4"/>
  <c r="G149" i="4"/>
  <c r="I148" i="4"/>
  <c r="G148" i="4"/>
  <c r="I147" i="4"/>
  <c r="G147" i="4"/>
  <c r="F53" i="4"/>
  <c r="E53" i="4"/>
  <c r="D53" i="4"/>
  <c r="C53" i="4"/>
  <c r="C54" i="4" s="1"/>
  <c r="I259" i="4" s="1"/>
  <c r="L52" i="4"/>
  <c r="I52" i="4"/>
  <c r="G52" i="4"/>
  <c r="L51" i="4"/>
  <c r="I51" i="4"/>
  <c r="G51" i="4"/>
  <c r="L50" i="4"/>
  <c r="I50" i="4"/>
  <c r="G50" i="4"/>
  <c r="L221" i="7"/>
  <c r="I221" i="7"/>
  <c r="G221" i="7"/>
  <c r="L220" i="7"/>
  <c r="I220" i="7"/>
  <c r="I222" i="7" s="1"/>
  <c r="G220" i="7"/>
  <c r="L219" i="7"/>
  <c r="I219" i="7"/>
  <c r="G219" i="7"/>
  <c r="L218" i="7"/>
  <c r="I218" i="7"/>
  <c r="G218" i="7"/>
  <c r="L217" i="7"/>
  <c r="I217" i="7"/>
  <c r="J217" i="7"/>
  <c r="J218" i="7" s="1"/>
  <c r="G217" i="7"/>
  <c r="G165" i="7"/>
  <c r="I9" i="7"/>
  <c r="J9" i="7"/>
  <c r="L49" i="4"/>
  <c r="I49" i="4"/>
  <c r="G49" i="4"/>
  <c r="L48" i="4"/>
  <c r="I48" i="4"/>
  <c r="G48" i="4"/>
  <c r="L47" i="4"/>
  <c r="I47" i="4"/>
  <c r="G47" i="4"/>
  <c r="L46" i="4"/>
  <c r="I46" i="4"/>
  <c r="G46" i="4"/>
  <c r="L45" i="4"/>
  <c r="I45" i="4"/>
  <c r="G45" i="4"/>
  <c r="I226" i="4"/>
  <c r="I225" i="4"/>
  <c r="I224" i="4"/>
  <c r="I223" i="4"/>
  <c r="I222" i="4"/>
  <c r="F208" i="7"/>
  <c r="E208" i="7"/>
  <c r="D208" i="7"/>
  <c r="C208" i="7"/>
  <c r="L207" i="7"/>
  <c r="I207" i="7"/>
  <c r="G207" i="7"/>
  <c r="L206" i="7"/>
  <c r="I206" i="7"/>
  <c r="G206" i="7"/>
  <c r="L205" i="7"/>
  <c r="I205" i="7"/>
  <c r="G205" i="7"/>
  <c r="L204" i="7"/>
  <c r="I204" i="7"/>
  <c r="G204" i="7"/>
  <c r="L203" i="7"/>
  <c r="I203" i="7"/>
  <c r="G203" i="7"/>
  <c r="L202" i="7"/>
  <c r="I202" i="7"/>
  <c r="G202" i="7"/>
  <c r="L201" i="7"/>
  <c r="I201" i="7"/>
  <c r="G201" i="7"/>
  <c r="L200" i="7"/>
  <c r="I200" i="7"/>
  <c r="G200" i="7"/>
  <c r="L199" i="7"/>
  <c r="I199" i="7"/>
  <c r="G199" i="7"/>
  <c r="L198" i="7"/>
  <c r="I198" i="7"/>
  <c r="G198" i="7"/>
  <c r="F17" i="13"/>
  <c r="F16" i="13"/>
  <c r="F15" i="13"/>
  <c r="F14" i="13"/>
  <c r="F18" i="13" s="1"/>
  <c r="H28" i="15" s="1"/>
  <c r="F13" i="13"/>
  <c r="F12" i="13"/>
  <c r="F11" i="13"/>
  <c r="F10" i="13"/>
  <c r="F9" i="13"/>
  <c r="F8" i="13"/>
  <c r="F37" i="13"/>
  <c r="F36" i="13"/>
  <c r="F35" i="13"/>
  <c r="F34" i="13"/>
  <c r="F33" i="13"/>
  <c r="F32" i="13"/>
  <c r="F31" i="13"/>
  <c r="F30" i="13"/>
  <c r="F29" i="13"/>
  <c r="F28" i="13"/>
  <c r="F27" i="13"/>
  <c r="F52" i="13"/>
  <c r="F51" i="13"/>
  <c r="F50" i="13"/>
  <c r="F49" i="13"/>
  <c r="F48" i="13"/>
  <c r="F47" i="13"/>
  <c r="F46" i="13"/>
  <c r="F53" i="13" s="1"/>
  <c r="F68" i="13"/>
  <c r="F67" i="13"/>
  <c r="F66" i="13"/>
  <c r="F65" i="13"/>
  <c r="F64" i="13"/>
  <c r="F63" i="13"/>
  <c r="F62" i="13"/>
  <c r="F69" i="13" s="1"/>
  <c r="G37" i="13"/>
  <c r="G36" i="13"/>
  <c r="G35" i="13"/>
  <c r="G34" i="13"/>
  <c r="G33" i="13"/>
  <c r="G32" i="13"/>
  <c r="G31" i="13"/>
  <c r="G30" i="13"/>
  <c r="G29" i="13"/>
  <c r="G28" i="13"/>
  <c r="G27" i="13"/>
  <c r="G68" i="13"/>
  <c r="G67" i="13"/>
  <c r="G66" i="13"/>
  <c r="G65" i="13"/>
  <c r="G64" i="13"/>
  <c r="G69" i="13" s="1"/>
  <c r="G63" i="13"/>
  <c r="G62" i="13"/>
  <c r="E69" i="13"/>
  <c r="D69" i="13"/>
  <c r="C69" i="13"/>
  <c r="K68" i="13"/>
  <c r="H68" i="13"/>
  <c r="K67" i="13"/>
  <c r="H67" i="13"/>
  <c r="K66" i="13"/>
  <c r="H66" i="13"/>
  <c r="K65" i="13"/>
  <c r="H65" i="13"/>
  <c r="K64" i="13"/>
  <c r="H64" i="13"/>
  <c r="K63" i="13"/>
  <c r="H63" i="13"/>
  <c r="H62" i="13"/>
  <c r="H69" i="13" s="1"/>
  <c r="D42" i="9"/>
  <c r="D41" i="9"/>
  <c r="C43" i="9"/>
  <c r="I40" i="9"/>
  <c r="F40" i="9"/>
  <c r="D40" i="9"/>
  <c r="L35" i="7"/>
  <c r="I35" i="7"/>
  <c r="G35" i="7"/>
  <c r="L34" i="7"/>
  <c r="I34" i="7"/>
  <c r="G34" i="7"/>
  <c r="I33" i="7"/>
  <c r="G33" i="7"/>
  <c r="I32" i="7"/>
  <c r="G32" i="7"/>
  <c r="I31" i="7"/>
  <c r="G31" i="7"/>
  <c r="I30" i="7"/>
  <c r="G30" i="7"/>
  <c r="I29" i="7"/>
  <c r="J29" i="7"/>
  <c r="J30" i="7" s="1"/>
  <c r="J31" i="7" s="1"/>
  <c r="G29" i="7"/>
  <c r="G67" i="2"/>
  <c r="E67" i="2"/>
  <c r="D67" i="2"/>
  <c r="C67" i="2"/>
  <c r="K66" i="2"/>
  <c r="H66" i="2"/>
  <c r="F66" i="2"/>
  <c r="K65" i="2"/>
  <c r="H65" i="2"/>
  <c r="F65" i="2"/>
  <c r="K64" i="2"/>
  <c r="H64" i="2"/>
  <c r="F64" i="2"/>
  <c r="F67" i="2"/>
  <c r="E53" i="13"/>
  <c r="D53" i="13"/>
  <c r="C53" i="13"/>
  <c r="K52" i="13"/>
  <c r="H52" i="13"/>
  <c r="K51" i="13"/>
  <c r="H51" i="13"/>
  <c r="K50" i="13"/>
  <c r="H50" i="13"/>
  <c r="K49" i="13"/>
  <c r="H49" i="13"/>
  <c r="K48" i="13"/>
  <c r="H48" i="13"/>
  <c r="K47" i="13"/>
  <c r="H47" i="13"/>
  <c r="K46" i="13"/>
  <c r="H46" i="13"/>
  <c r="H53" i="13" s="1"/>
  <c r="E42" i="24"/>
  <c r="D42" i="24"/>
  <c r="C42" i="24"/>
  <c r="K41" i="24"/>
  <c r="H41" i="24"/>
  <c r="K40" i="24"/>
  <c r="H40" i="24"/>
  <c r="K39" i="24"/>
  <c r="H39" i="24"/>
  <c r="K38" i="24"/>
  <c r="H38" i="24"/>
  <c r="K37" i="24"/>
  <c r="H37" i="24"/>
  <c r="K36" i="24"/>
  <c r="H36" i="24"/>
  <c r="K35" i="24"/>
  <c r="H35" i="24"/>
  <c r="K34" i="24"/>
  <c r="H34" i="24"/>
  <c r="K33" i="24"/>
  <c r="H33" i="24"/>
  <c r="K32" i="24"/>
  <c r="H32" i="24"/>
  <c r="H31" i="24"/>
  <c r="K30" i="24"/>
  <c r="H30" i="24"/>
  <c r="H29" i="24"/>
  <c r="I29" i="24" s="1"/>
  <c r="H20" i="24"/>
  <c r="H19" i="24"/>
  <c r="H18" i="24"/>
  <c r="H17" i="24"/>
  <c r="H16" i="24"/>
  <c r="H15" i="24"/>
  <c r="H14" i="24"/>
  <c r="H13" i="24"/>
  <c r="H12" i="24"/>
  <c r="H11" i="24"/>
  <c r="H10" i="24"/>
  <c r="H9" i="24"/>
  <c r="H21" i="24" s="1"/>
  <c r="H22" i="24" s="1"/>
  <c r="H8" i="24"/>
  <c r="I8" i="24"/>
  <c r="F8" i="24"/>
  <c r="E21" i="24"/>
  <c r="D21" i="24"/>
  <c r="C21" i="24"/>
  <c r="K20" i="24"/>
  <c r="K19" i="24"/>
  <c r="K18" i="24"/>
  <c r="K17" i="24"/>
  <c r="K16" i="24"/>
  <c r="K15" i="24"/>
  <c r="K14" i="24"/>
  <c r="K13" i="24"/>
  <c r="K12" i="24"/>
  <c r="K11" i="24"/>
  <c r="K10" i="24"/>
  <c r="K9" i="24"/>
  <c r="A2" i="24"/>
  <c r="H15" i="22"/>
  <c r="H14" i="22"/>
  <c r="H12" i="22"/>
  <c r="H11" i="22"/>
  <c r="H10" i="22"/>
  <c r="H9" i="22"/>
  <c r="H8" i="22"/>
  <c r="E26" i="2"/>
  <c r="D26" i="2"/>
  <c r="C26" i="2"/>
  <c r="K25" i="2"/>
  <c r="H25" i="2"/>
  <c r="F25" i="2"/>
  <c r="K24" i="2"/>
  <c r="H24" i="2"/>
  <c r="F24" i="2"/>
  <c r="K23" i="2"/>
  <c r="H23" i="2"/>
  <c r="F23" i="2"/>
  <c r="K22" i="2"/>
  <c r="H22" i="2"/>
  <c r="F22" i="2"/>
  <c r="K21" i="2"/>
  <c r="H21" i="2"/>
  <c r="F21" i="2"/>
  <c r="H154" i="8"/>
  <c r="H153" i="8"/>
  <c r="H152" i="8"/>
  <c r="I152" i="8"/>
  <c r="F48" i="9"/>
  <c r="I39" i="9"/>
  <c r="F39" i="9"/>
  <c r="D39" i="9"/>
  <c r="F38" i="9"/>
  <c r="D38" i="9"/>
  <c r="F37" i="9"/>
  <c r="D37" i="9"/>
  <c r="F36" i="9"/>
  <c r="E43" i="9"/>
  <c r="D36" i="9"/>
  <c r="F41" i="18"/>
  <c r="C38" i="18"/>
  <c r="I37" i="18"/>
  <c r="F37" i="18"/>
  <c r="D37" i="18"/>
  <c r="I36" i="18"/>
  <c r="F36" i="18"/>
  <c r="D36" i="18"/>
  <c r="I35" i="18"/>
  <c r="F35" i="18"/>
  <c r="D35" i="18"/>
  <c r="D38" i="18" s="1"/>
  <c r="I34" i="18"/>
  <c r="F34" i="18"/>
  <c r="E38" i="18"/>
  <c r="D34" i="18"/>
  <c r="H265" i="4"/>
  <c r="F245" i="4"/>
  <c r="I26" i="9"/>
  <c r="F26" i="9"/>
  <c r="D26" i="9"/>
  <c r="I25" i="9"/>
  <c r="F25" i="9"/>
  <c r="D25" i="9"/>
  <c r="F24" i="9"/>
  <c r="K102" i="8"/>
  <c r="H102" i="8"/>
  <c r="K101" i="8"/>
  <c r="H101" i="8"/>
  <c r="E11" i="8"/>
  <c r="E61" i="8"/>
  <c r="E80" i="8"/>
  <c r="F70" i="7"/>
  <c r="E70" i="7"/>
  <c r="D70" i="7"/>
  <c r="C70" i="7"/>
  <c r="L69" i="7"/>
  <c r="I69" i="7"/>
  <c r="G69" i="7"/>
  <c r="L68" i="7"/>
  <c r="I68" i="7"/>
  <c r="G68" i="7"/>
  <c r="G70" i="7" s="1"/>
  <c r="L67" i="7"/>
  <c r="I67" i="7"/>
  <c r="G67" i="7"/>
  <c r="L66" i="7"/>
  <c r="I66" i="7"/>
  <c r="G66" i="7"/>
  <c r="L65" i="7"/>
  <c r="I65" i="7"/>
  <c r="G65" i="7"/>
  <c r="L64" i="7"/>
  <c r="I64" i="7"/>
  <c r="G64" i="7"/>
  <c r="L63" i="7"/>
  <c r="I63" i="7"/>
  <c r="G63" i="7"/>
  <c r="L62" i="7"/>
  <c r="I62" i="7"/>
  <c r="G62" i="7"/>
  <c r="L61" i="7"/>
  <c r="I61" i="7"/>
  <c r="G61" i="7"/>
  <c r="I60" i="7"/>
  <c r="G60" i="7"/>
  <c r="I59" i="7"/>
  <c r="J59" i="7" s="1"/>
  <c r="J60" i="7" s="1"/>
  <c r="J61" i="7" s="1"/>
  <c r="G59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9" i="7"/>
  <c r="G18" i="7"/>
  <c r="G17" i="7"/>
  <c r="G16" i="7"/>
  <c r="G15" i="7"/>
  <c r="G14" i="7"/>
  <c r="G13" i="7"/>
  <c r="G12" i="7"/>
  <c r="G11" i="7"/>
  <c r="G10" i="7"/>
  <c r="G9" i="7"/>
  <c r="G20" i="7" s="1"/>
  <c r="D25" i="18"/>
  <c r="D24" i="18"/>
  <c r="D23" i="18"/>
  <c r="D22" i="18"/>
  <c r="D12" i="18"/>
  <c r="D11" i="18"/>
  <c r="D10" i="18"/>
  <c r="D9" i="18"/>
  <c r="D8" i="18"/>
  <c r="E8" i="18"/>
  <c r="G17" i="13"/>
  <c r="G16" i="13"/>
  <c r="G15" i="13"/>
  <c r="G14" i="13"/>
  <c r="G13" i="13"/>
  <c r="G12" i="13"/>
  <c r="G18" i="13" s="1"/>
  <c r="K28" i="15" s="1"/>
  <c r="G11" i="13"/>
  <c r="G10" i="13"/>
  <c r="G9" i="13"/>
  <c r="G8" i="13"/>
  <c r="G38" i="21"/>
  <c r="G37" i="21"/>
  <c r="G36" i="21"/>
  <c r="G35" i="21"/>
  <c r="G34" i="21"/>
  <c r="G33" i="21"/>
  <c r="G32" i="21"/>
  <c r="G31" i="21"/>
  <c r="G30" i="21"/>
  <c r="G29" i="21"/>
  <c r="G28" i="21"/>
  <c r="G18" i="21"/>
  <c r="G17" i="21"/>
  <c r="G16" i="21"/>
  <c r="G15" i="21"/>
  <c r="G14" i="21"/>
  <c r="G13" i="21"/>
  <c r="G12" i="21"/>
  <c r="G11" i="21"/>
  <c r="G10" i="21"/>
  <c r="G9" i="21"/>
  <c r="G8" i="21"/>
  <c r="G43" i="20"/>
  <c r="A2" i="23"/>
  <c r="A2" i="22"/>
  <c r="A2" i="3"/>
  <c r="A2" i="9"/>
  <c r="A2" i="8"/>
  <c r="A2" i="7"/>
  <c r="A2" i="18"/>
  <c r="A2" i="13"/>
  <c r="A2" i="21"/>
  <c r="A2" i="20"/>
  <c r="A2" i="2"/>
  <c r="L197" i="4"/>
  <c r="I197" i="4"/>
  <c r="G197" i="4"/>
  <c r="L196" i="4"/>
  <c r="I196" i="4"/>
  <c r="G196" i="4"/>
  <c r="I195" i="4"/>
  <c r="G195" i="4"/>
  <c r="I194" i="4"/>
  <c r="G194" i="4"/>
  <c r="G209" i="4" s="1"/>
  <c r="J265" i="4" s="1"/>
  <c r="I193" i="4"/>
  <c r="G193" i="4"/>
  <c r="I192" i="4"/>
  <c r="G192" i="4"/>
  <c r="I189" i="4"/>
  <c r="J189" i="4"/>
  <c r="J190" i="4"/>
  <c r="J191" i="4" s="1"/>
  <c r="J192" i="4" s="1"/>
  <c r="J193" i="4" s="1"/>
  <c r="J194" i="4" s="1"/>
  <c r="J195" i="4" s="1"/>
  <c r="J196" i="4" s="1"/>
  <c r="J197" i="4" s="1"/>
  <c r="J198" i="4" s="1"/>
  <c r="J199" i="4" s="1"/>
  <c r="J200" i="4" s="1"/>
  <c r="J201" i="4" s="1"/>
  <c r="J202" i="4"/>
  <c r="J203" i="4" s="1"/>
  <c r="J204" i="4" s="1"/>
  <c r="J205" i="4" s="1"/>
  <c r="J206" i="4" s="1"/>
  <c r="J207" i="4" s="1"/>
  <c r="J208" i="4" s="1"/>
  <c r="G189" i="4"/>
  <c r="G87" i="4"/>
  <c r="I87" i="4"/>
  <c r="J87" i="4"/>
  <c r="L86" i="7"/>
  <c r="L85" i="7"/>
  <c r="I85" i="7"/>
  <c r="G85" i="7"/>
  <c r="L84" i="7"/>
  <c r="I84" i="7"/>
  <c r="G84" i="7"/>
  <c r="F129" i="4"/>
  <c r="E129" i="4"/>
  <c r="D129" i="4"/>
  <c r="C129" i="4"/>
  <c r="L128" i="4"/>
  <c r="I128" i="4"/>
  <c r="G128" i="4"/>
  <c r="L127" i="4"/>
  <c r="I127" i="4"/>
  <c r="G127" i="4"/>
  <c r="L126" i="4"/>
  <c r="I126" i="4"/>
  <c r="G126" i="4"/>
  <c r="L125" i="4"/>
  <c r="I125" i="4"/>
  <c r="G125" i="4"/>
  <c r="L124" i="4"/>
  <c r="I124" i="4"/>
  <c r="G124" i="4"/>
  <c r="C227" i="4"/>
  <c r="D227" i="4"/>
  <c r="E227" i="4"/>
  <c r="F227" i="4"/>
  <c r="L226" i="4"/>
  <c r="L123" i="4"/>
  <c r="I123" i="4"/>
  <c r="G123" i="4"/>
  <c r="L122" i="4"/>
  <c r="I122" i="4"/>
  <c r="G122" i="4"/>
  <c r="L121" i="4"/>
  <c r="I121" i="4"/>
  <c r="G121" i="4"/>
  <c r="L120" i="4"/>
  <c r="I120" i="4"/>
  <c r="G120" i="4"/>
  <c r="L119" i="4"/>
  <c r="I119" i="4"/>
  <c r="G119" i="4"/>
  <c r="I118" i="4"/>
  <c r="G118" i="4"/>
  <c r="C16" i="22"/>
  <c r="D16" i="22"/>
  <c r="E16" i="22"/>
  <c r="K15" i="22"/>
  <c r="K14" i="22"/>
  <c r="K13" i="22"/>
  <c r="H13" i="22"/>
  <c r="F16" i="22"/>
  <c r="L176" i="4"/>
  <c r="I176" i="4"/>
  <c r="G176" i="4"/>
  <c r="I175" i="4"/>
  <c r="G175" i="4"/>
  <c r="I174" i="4"/>
  <c r="G174" i="4"/>
  <c r="L74" i="4"/>
  <c r="I74" i="4"/>
  <c r="G74" i="4"/>
  <c r="L73" i="4"/>
  <c r="I73" i="4"/>
  <c r="G73" i="4"/>
  <c r="I72" i="4"/>
  <c r="G72" i="4"/>
  <c r="I71" i="4"/>
  <c r="G71" i="4"/>
  <c r="I70" i="4"/>
  <c r="G70" i="4"/>
  <c r="F47" i="15"/>
  <c r="F65" i="16"/>
  <c r="F64" i="16"/>
  <c r="F77" i="15"/>
  <c r="F78" i="15" s="1"/>
  <c r="K77" i="15"/>
  <c r="F72" i="15"/>
  <c r="F73" i="15"/>
  <c r="F33" i="16"/>
  <c r="F32" i="16"/>
  <c r="F8" i="16"/>
  <c r="F41" i="15"/>
  <c r="F42" i="15" s="1"/>
  <c r="F7" i="15"/>
  <c r="G55" i="2"/>
  <c r="G54" i="2"/>
  <c r="G53" i="2"/>
  <c r="G56" i="2"/>
  <c r="K65" i="16" s="1"/>
  <c r="F35" i="15"/>
  <c r="F36" i="15" s="1"/>
  <c r="F34" i="15"/>
  <c r="F41" i="16"/>
  <c r="F7" i="16"/>
  <c r="K89" i="8"/>
  <c r="E56" i="2"/>
  <c r="D56" i="2"/>
  <c r="C56" i="2"/>
  <c r="K55" i="2"/>
  <c r="H55" i="2"/>
  <c r="F55" i="2"/>
  <c r="K54" i="2"/>
  <c r="H54" i="2"/>
  <c r="F54" i="2"/>
  <c r="K53" i="2"/>
  <c r="H53" i="2"/>
  <c r="F53" i="2"/>
  <c r="F56" i="2" s="1"/>
  <c r="H7" i="15" s="1"/>
  <c r="K39" i="21"/>
  <c r="E39" i="21"/>
  <c r="D39" i="21"/>
  <c r="C39" i="21"/>
  <c r="K38" i="21"/>
  <c r="H38" i="21"/>
  <c r="F38" i="21"/>
  <c r="K37" i="21"/>
  <c r="H37" i="21"/>
  <c r="F37" i="21"/>
  <c r="K36" i="21"/>
  <c r="H36" i="21"/>
  <c r="F36" i="21"/>
  <c r="K35" i="21"/>
  <c r="H35" i="21"/>
  <c r="H39" i="21" s="1"/>
  <c r="F35" i="21"/>
  <c r="K34" i="21"/>
  <c r="H34" i="21"/>
  <c r="F34" i="21"/>
  <c r="K33" i="21"/>
  <c r="H33" i="21"/>
  <c r="F33" i="21"/>
  <c r="K32" i="21"/>
  <c r="H32" i="21"/>
  <c r="F32" i="21"/>
  <c r="K31" i="21"/>
  <c r="H31" i="21"/>
  <c r="F31" i="21"/>
  <c r="K30" i="21"/>
  <c r="H30" i="21"/>
  <c r="F30" i="21"/>
  <c r="K29" i="21"/>
  <c r="H29" i="21"/>
  <c r="F29" i="21"/>
  <c r="K28" i="21"/>
  <c r="H28" i="21"/>
  <c r="I28" i="21" s="1"/>
  <c r="F28" i="21"/>
  <c r="D11" i="8"/>
  <c r="C11" i="8"/>
  <c r="H10" i="8"/>
  <c r="H9" i="8"/>
  <c r="K8" i="8"/>
  <c r="H8" i="8"/>
  <c r="L225" i="4"/>
  <c r="L224" i="4"/>
  <c r="C20" i="7"/>
  <c r="D20" i="7"/>
  <c r="E20" i="7"/>
  <c r="F20" i="7"/>
  <c r="L19" i="7"/>
  <c r="I19" i="7"/>
  <c r="L18" i="7"/>
  <c r="I18" i="7"/>
  <c r="L17" i="7"/>
  <c r="I17" i="7"/>
  <c r="L16" i="7"/>
  <c r="I16" i="7"/>
  <c r="L15" i="7"/>
  <c r="I15" i="7"/>
  <c r="L14" i="7"/>
  <c r="I14" i="7"/>
  <c r="L13" i="7"/>
  <c r="I13" i="7"/>
  <c r="E25" i="18"/>
  <c r="E24" i="18"/>
  <c r="E26" i="18" s="1"/>
  <c r="E23" i="18"/>
  <c r="E22" i="18"/>
  <c r="L188" i="7"/>
  <c r="I188" i="7"/>
  <c r="G188" i="7"/>
  <c r="L187" i="7"/>
  <c r="I187" i="7"/>
  <c r="G187" i="7"/>
  <c r="L186" i="7"/>
  <c r="I186" i="7"/>
  <c r="G186" i="7"/>
  <c r="L185" i="7"/>
  <c r="I185" i="7"/>
  <c r="G185" i="7"/>
  <c r="L184" i="7"/>
  <c r="I184" i="7"/>
  <c r="G184" i="7"/>
  <c r="L183" i="7"/>
  <c r="I183" i="7"/>
  <c r="G183" i="7"/>
  <c r="L182" i="7"/>
  <c r="I182" i="7"/>
  <c r="G182" i="7"/>
  <c r="L181" i="7"/>
  <c r="I181" i="7"/>
  <c r="G181" i="7"/>
  <c r="G189" i="7" s="1"/>
  <c r="L180" i="7"/>
  <c r="I180" i="7"/>
  <c r="G180" i="7"/>
  <c r="F8" i="20"/>
  <c r="H8" i="20"/>
  <c r="I8" i="20" s="1"/>
  <c r="K8" i="20"/>
  <c r="F9" i="20"/>
  <c r="H9" i="20"/>
  <c r="F10" i="20"/>
  <c r="H10" i="20"/>
  <c r="K10" i="20"/>
  <c r="F11" i="20"/>
  <c r="H11" i="20"/>
  <c r="K11" i="20"/>
  <c r="F12" i="20"/>
  <c r="H12" i="20"/>
  <c r="K12" i="20"/>
  <c r="F13" i="20"/>
  <c r="H13" i="20"/>
  <c r="K13" i="20"/>
  <c r="F14" i="20"/>
  <c r="H14" i="20"/>
  <c r="K14" i="20"/>
  <c r="F15" i="20"/>
  <c r="H15" i="20"/>
  <c r="K15" i="20"/>
  <c r="F16" i="20"/>
  <c r="H16" i="20"/>
  <c r="K16" i="20"/>
  <c r="F17" i="20"/>
  <c r="H17" i="20"/>
  <c r="K17" i="20"/>
  <c r="F18" i="20"/>
  <c r="H18" i="20"/>
  <c r="K18" i="20"/>
  <c r="C19" i="20"/>
  <c r="D19" i="20"/>
  <c r="E19" i="20"/>
  <c r="K19" i="20"/>
  <c r="F28" i="20"/>
  <c r="H28" i="20"/>
  <c r="I28" i="20"/>
  <c r="I29" i="20" s="1"/>
  <c r="F29" i="20"/>
  <c r="H29" i="20"/>
  <c r="F30" i="20"/>
  <c r="H30" i="20"/>
  <c r="F31" i="20"/>
  <c r="H31" i="20"/>
  <c r="K31" i="20"/>
  <c r="F32" i="20"/>
  <c r="H32" i="20"/>
  <c r="F33" i="20"/>
  <c r="H33" i="20"/>
  <c r="K33" i="20"/>
  <c r="F34" i="20"/>
  <c r="H34" i="20"/>
  <c r="K34" i="20"/>
  <c r="F35" i="20"/>
  <c r="H35" i="20"/>
  <c r="K35" i="20"/>
  <c r="C36" i="20"/>
  <c r="D36" i="20"/>
  <c r="E36" i="20"/>
  <c r="C21" i="23"/>
  <c r="D21" i="23"/>
  <c r="E21" i="23"/>
  <c r="K20" i="23"/>
  <c r="H20" i="23"/>
  <c r="F20" i="23"/>
  <c r="L136" i="7"/>
  <c r="I69" i="4"/>
  <c r="G69" i="4"/>
  <c r="I68" i="4"/>
  <c r="G68" i="4"/>
  <c r="I67" i="4"/>
  <c r="G67" i="4"/>
  <c r="K19" i="23"/>
  <c r="H19" i="23"/>
  <c r="F19" i="23"/>
  <c r="K18" i="23"/>
  <c r="H18" i="23"/>
  <c r="F18" i="23"/>
  <c r="K17" i="23"/>
  <c r="H17" i="23"/>
  <c r="F17" i="23"/>
  <c r="K16" i="23"/>
  <c r="H16" i="23"/>
  <c r="F16" i="23"/>
  <c r="K15" i="23"/>
  <c r="H15" i="23"/>
  <c r="F15" i="23"/>
  <c r="K14" i="23"/>
  <c r="H14" i="23"/>
  <c r="F14" i="23"/>
  <c r="H13" i="23"/>
  <c r="K12" i="23"/>
  <c r="H12" i="23"/>
  <c r="H21" i="23" s="1"/>
  <c r="F12" i="23"/>
  <c r="C116" i="7"/>
  <c r="D116" i="7"/>
  <c r="E116" i="7"/>
  <c r="F116" i="7"/>
  <c r="L115" i="7"/>
  <c r="I115" i="7"/>
  <c r="G115" i="7"/>
  <c r="G116" i="7" s="1"/>
  <c r="L114" i="7"/>
  <c r="I114" i="7"/>
  <c r="G114" i="7"/>
  <c r="L113" i="7"/>
  <c r="I113" i="7"/>
  <c r="G113" i="7"/>
  <c r="L112" i="7"/>
  <c r="I112" i="7"/>
  <c r="G112" i="7"/>
  <c r="L9" i="7"/>
  <c r="I10" i="7"/>
  <c r="I20" i="7" s="1"/>
  <c r="L10" i="7"/>
  <c r="I11" i="7"/>
  <c r="L11" i="7"/>
  <c r="I12" i="7"/>
  <c r="L12" i="7"/>
  <c r="H77" i="15"/>
  <c r="H78" i="15" s="1"/>
  <c r="F26" i="23"/>
  <c r="H11" i="23"/>
  <c r="H10" i="23"/>
  <c r="H9" i="23"/>
  <c r="H8" i="23"/>
  <c r="I8" i="23" s="1"/>
  <c r="I9" i="23"/>
  <c r="I10" i="23" s="1"/>
  <c r="I11" i="23"/>
  <c r="I12" i="23" s="1"/>
  <c r="I13" i="23" s="1"/>
  <c r="I14" i="23" s="1"/>
  <c r="I15" i="23" s="1"/>
  <c r="I16" i="23" s="1"/>
  <c r="I17" i="23" s="1"/>
  <c r="I18" i="23" s="1"/>
  <c r="I19" i="23" s="1"/>
  <c r="I20" i="23" s="1"/>
  <c r="F11" i="23"/>
  <c r="F10" i="23"/>
  <c r="F9" i="23"/>
  <c r="F21" i="23" s="1"/>
  <c r="F8" i="23"/>
  <c r="K10" i="23"/>
  <c r="K9" i="23"/>
  <c r="K8" i="23"/>
  <c r="K19" i="21"/>
  <c r="E19" i="21"/>
  <c r="D19" i="21"/>
  <c r="C19" i="21"/>
  <c r="K18" i="21"/>
  <c r="H18" i="21"/>
  <c r="F18" i="21"/>
  <c r="K17" i="21"/>
  <c r="H17" i="21"/>
  <c r="F17" i="21"/>
  <c r="K16" i="21"/>
  <c r="H16" i="21"/>
  <c r="F16" i="21"/>
  <c r="K15" i="21"/>
  <c r="H15" i="21"/>
  <c r="F15" i="21"/>
  <c r="K14" i="21"/>
  <c r="H14" i="21"/>
  <c r="F14" i="21"/>
  <c r="K13" i="21"/>
  <c r="H13" i="21"/>
  <c r="F13" i="21"/>
  <c r="K12" i="21"/>
  <c r="H12" i="21"/>
  <c r="F12" i="21"/>
  <c r="K11" i="21"/>
  <c r="H11" i="21"/>
  <c r="F11" i="21"/>
  <c r="K10" i="21"/>
  <c r="H10" i="21"/>
  <c r="F10" i="21"/>
  <c r="K9" i="21"/>
  <c r="H9" i="21"/>
  <c r="F9" i="21"/>
  <c r="K8" i="21"/>
  <c r="H8" i="21"/>
  <c r="F8" i="21"/>
  <c r="L83" i="7"/>
  <c r="I83" i="7"/>
  <c r="G83" i="7"/>
  <c r="I82" i="7"/>
  <c r="G82" i="7"/>
  <c r="I81" i="7"/>
  <c r="G81" i="7"/>
  <c r="G98" i="7" s="1"/>
  <c r="I80" i="7"/>
  <c r="I98" i="7"/>
  <c r="G80" i="7"/>
  <c r="F5" i="16"/>
  <c r="F6" i="16"/>
  <c r="F9" i="16"/>
  <c r="F10" i="16"/>
  <c r="F11" i="16"/>
  <c r="F19" i="16"/>
  <c r="F20" i="16"/>
  <c r="F24" i="16"/>
  <c r="H24" i="16"/>
  <c r="F30" i="16"/>
  <c r="F31" i="16"/>
  <c r="F39" i="16"/>
  <c r="F40" i="16"/>
  <c r="F42" i="16"/>
  <c r="F43" i="16"/>
  <c r="F47" i="16"/>
  <c r="F48" i="16"/>
  <c r="F49" i="16"/>
  <c r="F50" i="16"/>
  <c r="F53" i="16"/>
  <c r="F60" i="16"/>
  <c r="F63" i="16"/>
  <c r="F5" i="15"/>
  <c r="F8" i="15" s="1"/>
  <c r="F6" i="15"/>
  <c r="F13" i="15"/>
  <c r="F14" i="15"/>
  <c r="F20" i="15"/>
  <c r="F21" i="15"/>
  <c r="H21" i="15"/>
  <c r="F22" i="15"/>
  <c r="H22" i="15"/>
  <c r="F28" i="15"/>
  <c r="F29" i="15"/>
  <c r="F48" i="15"/>
  <c r="F49" i="15"/>
  <c r="F50" i="15"/>
  <c r="F51" i="15"/>
  <c r="F52" i="15"/>
  <c r="F53" i="15"/>
  <c r="F59" i="15"/>
  <c r="F60" i="15"/>
  <c r="F61" i="15"/>
  <c r="F66" i="15"/>
  <c r="F67" i="15"/>
  <c r="F83" i="15"/>
  <c r="F84" i="15"/>
  <c r="F85" i="15"/>
  <c r="F86" i="15"/>
  <c r="F87" i="15"/>
  <c r="F88" i="15"/>
  <c r="F89" i="15"/>
  <c r="H8" i="3"/>
  <c r="J8" i="3"/>
  <c r="K8" i="3" s="1"/>
  <c r="M8" i="3"/>
  <c r="H9" i="3"/>
  <c r="J9" i="3"/>
  <c r="K9" i="3"/>
  <c r="M9" i="3"/>
  <c r="H10" i="3"/>
  <c r="J10" i="3"/>
  <c r="M10" i="3"/>
  <c r="H11" i="3"/>
  <c r="J11" i="3"/>
  <c r="M11" i="3"/>
  <c r="H12" i="3"/>
  <c r="J12" i="3"/>
  <c r="M12" i="3"/>
  <c r="H13" i="3"/>
  <c r="J13" i="3"/>
  <c r="M13" i="3"/>
  <c r="H14" i="3"/>
  <c r="J14" i="3"/>
  <c r="M14" i="3"/>
  <c r="C15" i="3"/>
  <c r="D15" i="3"/>
  <c r="E15" i="3"/>
  <c r="F15" i="3"/>
  <c r="G15" i="3"/>
  <c r="J24" i="3"/>
  <c r="K24" i="3"/>
  <c r="M24" i="3"/>
  <c r="J25" i="3"/>
  <c r="M25" i="3"/>
  <c r="J26" i="3"/>
  <c r="J27" i="3"/>
  <c r="J28" i="3"/>
  <c r="J29" i="3"/>
  <c r="J30" i="3"/>
  <c r="M30" i="3"/>
  <c r="J31" i="3"/>
  <c r="M31" i="3"/>
  <c r="J32" i="3"/>
  <c r="M32" i="3"/>
  <c r="J33" i="3"/>
  <c r="M33" i="3"/>
  <c r="J34" i="3"/>
  <c r="M34" i="3"/>
  <c r="C37" i="3"/>
  <c r="D37" i="3"/>
  <c r="F8" i="9"/>
  <c r="G8" i="9"/>
  <c r="G9" i="9" s="1"/>
  <c r="F10" i="9"/>
  <c r="G10" i="9"/>
  <c r="G11" i="9" s="1"/>
  <c r="I10" i="9"/>
  <c r="F11" i="9"/>
  <c r="I11" i="9"/>
  <c r="D12" i="9"/>
  <c r="F12" i="9"/>
  <c r="I12" i="9"/>
  <c r="D13" i="9"/>
  <c r="F13" i="9"/>
  <c r="I13" i="9"/>
  <c r="C14" i="9"/>
  <c r="D27" i="9"/>
  <c r="F23" i="9"/>
  <c r="G23" i="9"/>
  <c r="C27" i="9"/>
  <c r="H19" i="8"/>
  <c r="I19" i="8" s="1"/>
  <c r="I20" i="8" s="1"/>
  <c r="H20" i="8"/>
  <c r="H21" i="8"/>
  <c r="H22" i="8"/>
  <c r="K22" i="8"/>
  <c r="H23" i="8"/>
  <c r="H24" i="8"/>
  <c r="K24" i="8"/>
  <c r="H25" i="8"/>
  <c r="K25" i="8"/>
  <c r="H39" i="8"/>
  <c r="I39" i="8" s="1"/>
  <c r="H40" i="8"/>
  <c r="H41" i="8"/>
  <c r="H42" i="8"/>
  <c r="H43" i="8"/>
  <c r="H44" i="8"/>
  <c r="K44" i="8"/>
  <c r="H45" i="8"/>
  <c r="H46" i="8"/>
  <c r="K46" i="8"/>
  <c r="H47" i="8"/>
  <c r="K47" i="8"/>
  <c r="H48" i="8"/>
  <c r="K48" i="8"/>
  <c r="H49" i="8"/>
  <c r="K49" i="8"/>
  <c r="H50" i="8"/>
  <c r="K50" i="8"/>
  <c r="H51" i="8"/>
  <c r="K51" i="8"/>
  <c r="H52" i="8"/>
  <c r="K52" i="8"/>
  <c r="H53" i="8"/>
  <c r="K53" i="8"/>
  <c r="H54" i="8"/>
  <c r="K54" i="8"/>
  <c r="H55" i="8"/>
  <c r="K55" i="8"/>
  <c r="H56" i="8"/>
  <c r="K56" i="8"/>
  <c r="H57" i="8"/>
  <c r="K57" i="8"/>
  <c r="H58" i="8"/>
  <c r="K58" i="8"/>
  <c r="H59" i="8"/>
  <c r="K59" i="8"/>
  <c r="H60" i="8"/>
  <c r="K60" i="8"/>
  <c r="C61" i="8"/>
  <c r="D61" i="8"/>
  <c r="H70" i="8"/>
  <c r="I70" i="8" s="1"/>
  <c r="I71" i="8" s="1"/>
  <c r="K70" i="8"/>
  <c r="H71" i="8"/>
  <c r="H72" i="8"/>
  <c r="K72" i="8"/>
  <c r="H73" i="8"/>
  <c r="H74" i="8"/>
  <c r="H75" i="8"/>
  <c r="H76" i="8"/>
  <c r="H77" i="8"/>
  <c r="K77" i="8"/>
  <c r="H78" i="8"/>
  <c r="K78" i="8"/>
  <c r="H79" i="8"/>
  <c r="K79" i="8"/>
  <c r="C80" i="8"/>
  <c r="D80" i="8"/>
  <c r="H88" i="8"/>
  <c r="H113" i="8"/>
  <c r="I113" i="8"/>
  <c r="H114" i="8"/>
  <c r="H115" i="8"/>
  <c r="H116" i="8"/>
  <c r="K116" i="8"/>
  <c r="H131" i="8"/>
  <c r="I131" i="8"/>
  <c r="H132" i="8"/>
  <c r="H133" i="8"/>
  <c r="H134" i="8"/>
  <c r="H135" i="8"/>
  <c r="H136" i="8"/>
  <c r="H8" i="13"/>
  <c r="I8" i="13" s="1"/>
  <c r="K8" i="13"/>
  <c r="H9" i="13"/>
  <c r="I9" i="13" s="1"/>
  <c r="I10" i="13" s="1"/>
  <c r="I11" i="13" s="1"/>
  <c r="I12" i="13" s="1"/>
  <c r="K9" i="13"/>
  <c r="H10" i="13"/>
  <c r="K10" i="13"/>
  <c r="H11" i="13"/>
  <c r="K11" i="13"/>
  <c r="H12" i="13"/>
  <c r="K12" i="13"/>
  <c r="H13" i="13"/>
  <c r="K13" i="13"/>
  <c r="H14" i="13"/>
  <c r="K14" i="13"/>
  <c r="H15" i="13"/>
  <c r="K15" i="13"/>
  <c r="H16" i="13"/>
  <c r="K16" i="13"/>
  <c r="H17" i="13"/>
  <c r="K17" i="13"/>
  <c r="C18" i="13"/>
  <c r="D18" i="13"/>
  <c r="E18" i="13"/>
  <c r="H27" i="13"/>
  <c r="I27" i="13" s="1"/>
  <c r="H28" i="13"/>
  <c r="K28" i="13"/>
  <c r="H29" i="13"/>
  <c r="K29" i="13"/>
  <c r="H30" i="13"/>
  <c r="K30" i="13"/>
  <c r="H31" i="13"/>
  <c r="K31" i="13"/>
  <c r="H32" i="13"/>
  <c r="K32" i="13"/>
  <c r="H33" i="13"/>
  <c r="K33" i="13"/>
  <c r="H34" i="13"/>
  <c r="K34" i="13"/>
  <c r="H35" i="13"/>
  <c r="K35" i="13"/>
  <c r="H36" i="13"/>
  <c r="K36" i="13"/>
  <c r="H37" i="13"/>
  <c r="K37" i="13"/>
  <c r="C38" i="13"/>
  <c r="D38" i="13"/>
  <c r="E38" i="13"/>
  <c r="G108" i="7"/>
  <c r="I108" i="7"/>
  <c r="J108" i="7" s="1"/>
  <c r="L108" i="7"/>
  <c r="G109" i="7"/>
  <c r="I109" i="7"/>
  <c r="G110" i="7"/>
  <c r="I110" i="7"/>
  <c r="L110" i="7"/>
  <c r="G111" i="7"/>
  <c r="I111" i="7"/>
  <c r="L111" i="7"/>
  <c r="I126" i="7"/>
  <c r="J126" i="7"/>
  <c r="J127" i="7" s="1"/>
  <c r="J128" i="7" s="1"/>
  <c r="J129" i="7" s="1"/>
  <c r="J130" i="7" s="1"/>
  <c r="J131" i="7" s="1"/>
  <c r="J132" i="7" s="1"/>
  <c r="J133" i="7" s="1"/>
  <c r="J134" i="7" s="1"/>
  <c r="J135" i="7" s="1"/>
  <c r="J136" i="7" s="1"/>
  <c r="J137" i="7" s="1"/>
  <c r="J138" i="7" s="1"/>
  <c r="J139" i="7" s="1"/>
  <c r="J140" i="7" s="1"/>
  <c r="J141" i="7" s="1"/>
  <c r="J142" i="7" s="1"/>
  <c r="J143" i="7" s="1"/>
  <c r="J144" i="7" s="1"/>
  <c r="J145" i="7" s="1"/>
  <c r="J146" i="7" s="1"/>
  <c r="J147" i="7" s="1"/>
  <c r="J148" i="7" s="1"/>
  <c r="J149" i="7" s="1"/>
  <c r="J150" i="7" s="1"/>
  <c r="J151" i="7" s="1"/>
  <c r="J152" i="7" s="1"/>
  <c r="J153" i="7" s="1"/>
  <c r="J154" i="7" s="1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L140" i="7"/>
  <c r="I141" i="7"/>
  <c r="I142" i="7"/>
  <c r="I143" i="7"/>
  <c r="L143" i="7"/>
  <c r="G164" i="7"/>
  <c r="I164" i="7"/>
  <c r="J164" i="7"/>
  <c r="I165" i="7"/>
  <c r="G166" i="7"/>
  <c r="I166" i="7"/>
  <c r="L166" i="7"/>
  <c r="G167" i="7"/>
  <c r="I167" i="7"/>
  <c r="L167" i="7"/>
  <c r="G168" i="7"/>
  <c r="G171" i="7" s="1"/>
  <c r="I168" i="7"/>
  <c r="L168" i="7"/>
  <c r="G169" i="7"/>
  <c r="I169" i="7"/>
  <c r="L169" i="7"/>
  <c r="G170" i="7"/>
  <c r="I170" i="7"/>
  <c r="L170" i="7"/>
  <c r="F8" i="18"/>
  <c r="G8" i="18" s="1"/>
  <c r="I8" i="18"/>
  <c r="F9" i="18"/>
  <c r="I9" i="18"/>
  <c r="F10" i="18"/>
  <c r="I10" i="18"/>
  <c r="F11" i="18"/>
  <c r="I11" i="18"/>
  <c r="F12" i="18"/>
  <c r="I12" i="18"/>
  <c r="C13" i="18"/>
  <c r="E13" i="18"/>
  <c r="K9" i="16"/>
  <c r="F22" i="18"/>
  <c r="F26" i="18" s="1"/>
  <c r="I22" i="18"/>
  <c r="F23" i="18"/>
  <c r="I23" i="18"/>
  <c r="F24" i="18"/>
  <c r="I24" i="18"/>
  <c r="F25" i="18"/>
  <c r="I25" i="18"/>
  <c r="C26" i="18"/>
  <c r="F8" i="2"/>
  <c r="H8" i="2"/>
  <c r="K8" i="2"/>
  <c r="F9" i="2"/>
  <c r="H9" i="2"/>
  <c r="K9" i="2"/>
  <c r="F10" i="2"/>
  <c r="H10" i="2"/>
  <c r="K10" i="2"/>
  <c r="F11" i="2"/>
  <c r="H11" i="2"/>
  <c r="K11" i="2"/>
  <c r="F12" i="2"/>
  <c r="H12" i="2"/>
  <c r="K12" i="2"/>
  <c r="C13" i="2"/>
  <c r="D13" i="2"/>
  <c r="E13" i="2"/>
  <c r="F35" i="2"/>
  <c r="H35" i="2"/>
  <c r="I35" i="2"/>
  <c r="K35" i="2"/>
  <c r="F36" i="2"/>
  <c r="H36" i="2"/>
  <c r="H45" i="2" s="1"/>
  <c r="K36" i="2"/>
  <c r="F37" i="2"/>
  <c r="H37" i="2"/>
  <c r="F38" i="2"/>
  <c r="H38" i="2"/>
  <c r="F39" i="2"/>
  <c r="H39" i="2"/>
  <c r="F40" i="2"/>
  <c r="H40" i="2"/>
  <c r="G41" i="4"/>
  <c r="I41" i="4"/>
  <c r="J41" i="4" s="1"/>
  <c r="J42" i="4" s="1"/>
  <c r="J43" i="4" s="1"/>
  <c r="G42" i="4"/>
  <c r="I42" i="4"/>
  <c r="G43" i="4"/>
  <c r="I43" i="4"/>
  <c r="G44" i="4"/>
  <c r="I44" i="4"/>
  <c r="L44" i="4"/>
  <c r="G62" i="4"/>
  <c r="I62" i="4"/>
  <c r="J62" i="4"/>
  <c r="J63" i="4" s="1"/>
  <c r="G63" i="4"/>
  <c r="I63" i="4"/>
  <c r="G64" i="4"/>
  <c r="I64" i="4"/>
  <c r="G65" i="4"/>
  <c r="I65" i="4"/>
  <c r="G66" i="4"/>
  <c r="I66" i="4"/>
  <c r="G88" i="4"/>
  <c r="I88" i="4"/>
  <c r="G89" i="4"/>
  <c r="I89" i="4"/>
  <c r="G90" i="4"/>
  <c r="I90" i="4"/>
  <c r="G91" i="4"/>
  <c r="I91" i="4"/>
  <c r="G92" i="4"/>
  <c r="I92" i="4"/>
  <c r="G93" i="4"/>
  <c r="I93" i="4"/>
  <c r="G94" i="4"/>
  <c r="I94" i="4"/>
  <c r="G95" i="4"/>
  <c r="I95" i="4"/>
  <c r="G96" i="4"/>
  <c r="I96" i="4"/>
  <c r="G97" i="4"/>
  <c r="I97" i="4"/>
  <c r="L97" i="4"/>
  <c r="G98" i="4"/>
  <c r="I98" i="4"/>
  <c r="G99" i="4"/>
  <c r="I99" i="4"/>
  <c r="G100" i="4"/>
  <c r="I100" i="4"/>
  <c r="L100" i="4"/>
  <c r="G101" i="4"/>
  <c r="I101" i="4"/>
  <c r="G102" i="4"/>
  <c r="I102" i="4"/>
  <c r="L102" i="4"/>
  <c r="G103" i="4"/>
  <c r="I103" i="4"/>
  <c r="G104" i="4"/>
  <c r="I104" i="4"/>
  <c r="L104" i="4"/>
  <c r="G105" i="4"/>
  <c r="I105" i="4"/>
  <c r="G106" i="4"/>
  <c r="I106" i="4"/>
  <c r="L106" i="4"/>
  <c r="G107" i="4"/>
  <c r="I107" i="4"/>
  <c r="G108" i="4"/>
  <c r="I108" i="4"/>
  <c r="G109" i="4"/>
  <c r="I109" i="4"/>
  <c r="G110" i="4"/>
  <c r="I110" i="4"/>
  <c r="G111" i="4"/>
  <c r="I111" i="4"/>
  <c r="G112" i="4"/>
  <c r="I112" i="4"/>
  <c r="L112" i="4"/>
  <c r="G113" i="4"/>
  <c r="I113" i="4"/>
  <c r="G114" i="4"/>
  <c r="I114" i="4"/>
  <c r="G115" i="4"/>
  <c r="I115" i="4"/>
  <c r="G117" i="4"/>
  <c r="I117" i="4"/>
  <c r="G138" i="4"/>
  <c r="I138" i="4"/>
  <c r="J138" i="4" s="1"/>
  <c r="G139" i="4"/>
  <c r="I139" i="4"/>
  <c r="J139" i="4"/>
  <c r="G140" i="4"/>
  <c r="I140" i="4"/>
  <c r="G141" i="4"/>
  <c r="I141" i="4"/>
  <c r="G142" i="4"/>
  <c r="I142" i="4"/>
  <c r="G143" i="4"/>
  <c r="I143" i="4"/>
  <c r="G144" i="4"/>
  <c r="I144" i="4"/>
  <c r="L144" i="4"/>
  <c r="G145" i="4"/>
  <c r="I145" i="4"/>
  <c r="L145" i="4"/>
  <c r="G146" i="4"/>
  <c r="I146" i="4"/>
  <c r="G168" i="4"/>
  <c r="I168" i="4"/>
  <c r="G169" i="4"/>
  <c r="I169" i="4"/>
  <c r="G170" i="4"/>
  <c r="I170" i="4"/>
  <c r="G171" i="4"/>
  <c r="I171" i="4"/>
  <c r="G172" i="4"/>
  <c r="I172" i="4"/>
  <c r="G173" i="4"/>
  <c r="I173" i="4"/>
  <c r="I219" i="4"/>
  <c r="I220" i="4"/>
  <c r="I221" i="4"/>
  <c r="H259" i="4"/>
  <c r="H260" i="4"/>
  <c r="H261" i="4"/>
  <c r="H262" i="4"/>
  <c r="H263" i="4"/>
  <c r="H264" i="4"/>
  <c r="H266" i="4"/>
  <c r="F15" i="15"/>
  <c r="K13" i="15"/>
  <c r="H40" i="21"/>
  <c r="I29" i="21"/>
  <c r="I30" i="21" s="1"/>
  <c r="I31" i="21"/>
  <c r="I32" i="21"/>
  <c r="I33" i="21" s="1"/>
  <c r="I34" i="21" s="1"/>
  <c r="I35" i="21" s="1"/>
  <c r="I36" i="21" s="1"/>
  <c r="I37" i="21" s="1"/>
  <c r="I38" i="21" s="1"/>
  <c r="L118" i="4"/>
  <c r="K9" i="22"/>
  <c r="K45" i="8"/>
  <c r="I30" i="24"/>
  <c r="I31" i="24"/>
  <c r="I32" i="24" s="1"/>
  <c r="I46" i="13"/>
  <c r="I47" i="13" s="1"/>
  <c r="I48" i="13" s="1"/>
  <c r="I49" i="13" s="1"/>
  <c r="I50" i="13" s="1"/>
  <c r="I51" i="13" s="1"/>
  <c r="I52" i="13"/>
  <c r="D43" i="9"/>
  <c r="J198" i="7"/>
  <c r="J199" i="7" s="1"/>
  <c r="J204" i="7" s="1"/>
  <c r="L175" i="4"/>
  <c r="L174" i="4"/>
  <c r="L101" i="4"/>
  <c r="K39" i="8"/>
  <c r="I84" i="13"/>
  <c r="I85" i="13" s="1"/>
  <c r="I77" i="13"/>
  <c r="I78" i="13" s="1"/>
  <c r="I79" i="13" s="1"/>
  <c r="I80" i="13" s="1"/>
  <c r="I81" i="13" s="1"/>
  <c r="I82" i="13" s="1"/>
  <c r="I83" i="13" s="1"/>
  <c r="G9" i="18"/>
  <c r="G22" i="18"/>
  <c r="G23" i="18" s="1"/>
  <c r="G24" i="18" s="1"/>
  <c r="G25" i="18" s="1"/>
  <c r="I28" i="13"/>
  <c r="I29" i="13" s="1"/>
  <c r="I30" i="13"/>
  <c r="I31" i="13" s="1"/>
  <c r="I32" i="13" s="1"/>
  <c r="I33" i="13" s="1"/>
  <c r="I34" i="13" s="1"/>
  <c r="I35" i="13" s="1"/>
  <c r="I36" i="13" s="1"/>
  <c r="I37" i="13" s="1"/>
  <c r="F27" i="18"/>
  <c r="K78" i="15"/>
  <c r="F38" i="23"/>
  <c r="I8" i="22"/>
  <c r="I9" i="22"/>
  <c r="I10" i="22" s="1"/>
  <c r="I11" i="22" s="1"/>
  <c r="I12" i="22" s="1"/>
  <c r="I13" i="22" s="1"/>
  <c r="I14" i="22" s="1"/>
  <c r="I15" i="22" s="1"/>
  <c r="F27" i="9"/>
  <c r="F28" i="9" s="1"/>
  <c r="H36" i="20"/>
  <c r="K40" i="16"/>
  <c r="G40" i="16"/>
  <c r="I21" i="2"/>
  <c r="G27" i="9"/>
  <c r="G28" i="9" s="1"/>
  <c r="G50" i="16"/>
  <c r="J80" i="7"/>
  <c r="J81" i="7" s="1"/>
  <c r="J82" i="7"/>
  <c r="J83" i="7" s="1"/>
  <c r="J84" i="7"/>
  <c r="J85" i="7" s="1"/>
  <c r="J86" i="7" s="1"/>
  <c r="J87" i="7" s="1"/>
  <c r="J88" i="7" s="1"/>
  <c r="J89" i="7" s="1"/>
  <c r="J90" i="7"/>
  <c r="J91" i="7" s="1"/>
  <c r="J92" i="7"/>
  <c r="J93" i="7" s="1"/>
  <c r="J94" i="7" s="1"/>
  <c r="J95" i="7"/>
  <c r="J96" i="7" s="1"/>
  <c r="J97" i="7" s="1"/>
  <c r="I88" i="8"/>
  <c r="I89" i="8" s="1"/>
  <c r="I90" i="8"/>
  <c r="I91" i="8" s="1"/>
  <c r="I70" i="7"/>
  <c r="I208" i="7"/>
  <c r="J208" i="7" s="1"/>
  <c r="J209" i="7" s="1"/>
  <c r="I209" i="7"/>
  <c r="G222" i="7"/>
  <c r="H222" i="7"/>
  <c r="J219" i="7"/>
  <c r="J220" i="7" s="1"/>
  <c r="J221" i="7" s="1"/>
  <c r="J222" i="7" s="1"/>
  <c r="J223" i="7" s="1"/>
  <c r="H20" i="7"/>
  <c r="K20" i="15"/>
  <c r="H189" i="7"/>
  <c r="I189" i="7"/>
  <c r="H20" i="15"/>
  <c r="H23" i="15" s="1"/>
  <c r="J62" i="7"/>
  <c r="J63" i="7" s="1"/>
  <c r="J64" i="7" s="1"/>
  <c r="J65" i="7" s="1"/>
  <c r="J66" i="7" s="1"/>
  <c r="J67" i="7" s="1"/>
  <c r="J68" i="7" s="1"/>
  <c r="J69" i="7" s="1"/>
  <c r="I49" i="7"/>
  <c r="J49" i="7"/>
  <c r="J50" i="7" s="1"/>
  <c r="I171" i="7"/>
  <c r="I172" i="7"/>
  <c r="I21" i="7"/>
  <c r="J10" i="7"/>
  <c r="J11" i="7" s="1"/>
  <c r="J12" i="7"/>
  <c r="J13" i="7"/>
  <c r="J14" i="7" s="1"/>
  <c r="J15" i="7"/>
  <c r="J16" i="7" s="1"/>
  <c r="J17" i="7"/>
  <c r="J18" i="7" s="1"/>
  <c r="J19" i="7" s="1"/>
  <c r="J180" i="7"/>
  <c r="J181" i="7"/>
  <c r="J182" i="7" s="1"/>
  <c r="J203" i="7"/>
  <c r="H171" i="7"/>
  <c r="K22" i="15" s="1"/>
  <c r="J200" i="7"/>
  <c r="G20" i="15"/>
  <c r="J32" i="7"/>
  <c r="J33" i="7" s="1"/>
  <c r="I50" i="7"/>
  <c r="J20" i="7"/>
  <c r="J21" i="7"/>
  <c r="I20" i="15"/>
  <c r="J20" i="15"/>
  <c r="J168" i="4"/>
  <c r="J169" i="4"/>
  <c r="J170" i="4" s="1"/>
  <c r="J171" i="4" s="1"/>
  <c r="J172" i="4" s="1"/>
  <c r="J173" i="4" s="1"/>
  <c r="J174" i="4" s="1"/>
  <c r="J175" i="4" s="1"/>
  <c r="J176" i="4" s="1"/>
  <c r="J177" i="4" s="1"/>
  <c r="J178" i="4" s="1"/>
  <c r="J179" i="4" s="1"/>
  <c r="H93" i="8"/>
  <c r="G105" i="8"/>
  <c r="I101" i="8"/>
  <c r="I102" i="8"/>
  <c r="C79" i="4"/>
  <c r="I261" i="4"/>
  <c r="I241" i="4"/>
  <c r="J241" i="4" s="1"/>
  <c r="H159" i="4"/>
  <c r="H227" i="4"/>
  <c r="K89" i="15"/>
  <c r="C228" i="4"/>
  <c r="H53" i="4"/>
  <c r="K24" i="16"/>
  <c r="J88" i="4"/>
  <c r="J89" i="4" s="1"/>
  <c r="J90" i="4" s="1"/>
  <c r="J91" i="4" s="1"/>
  <c r="J92" i="4" s="1"/>
  <c r="J93" i="4" s="1"/>
  <c r="J94" i="4" s="1"/>
  <c r="J95" i="4" s="1"/>
  <c r="J96" i="4" s="1"/>
  <c r="J97" i="4" s="1"/>
  <c r="J98" i="4" s="1"/>
  <c r="J99" i="4" s="1"/>
  <c r="J100" i="4" s="1"/>
  <c r="J101" i="4" s="1"/>
  <c r="J102" i="4" s="1"/>
  <c r="J103" i="4" s="1"/>
  <c r="J104" i="4" s="1"/>
  <c r="J105" i="4" s="1"/>
  <c r="J106" i="4" s="1"/>
  <c r="J107" i="4" s="1"/>
  <c r="J108" i="4" s="1"/>
  <c r="J109" i="4" s="1"/>
  <c r="J110" i="4" s="1"/>
  <c r="J111" i="4" s="1"/>
  <c r="J112" i="4" s="1"/>
  <c r="J113" i="4" s="1"/>
  <c r="J114" i="4" s="1"/>
  <c r="J115" i="4" s="1"/>
  <c r="J116" i="4" s="1"/>
  <c r="J117" i="4" s="1"/>
  <c r="J118" i="4" s="1"/>
  <c r="J119" i="4" s="1"/>
  <c r="J120" i="4" s="1"/>
  <c r="J121" i="4" s="1"/>
  <c r="J122" i="4" s="1"/>
  <c r="J123" i="4" s="1"/>
  <c r="J124" i="4" s="1"/>
  <c r="J125" i="4" s="1"/>
  <c r="J126" i="4" s="1"/>
  <c r="J127" i="4" s="1"/>
  <c r="J128" i="4" s="1"/>
  <c r="G32" i="16"/>
  <c r="H72" i="15"/>
  <c r="H73" i="15"/>
  <c r="G31" i="22"/>
  <c r="K72" i="15"/>
  <c r="K73" i="15" s="1"/>
  <c r="F33" i="22"/>
  <c r="K32" i="16"/>
  <c r="J32" i="16"/>
  <c r="I32" i="16"/>
  <c r="C160" i="4"/>
  <c r="I263" i="4" s="1"/>
  <c r="L263" i="4" s="1"/>
  <c r="K10" i="16"/>
  <c r="K59" i="15"/>
  <c r="J33" i="4"/>
  <c r="J34" i="4"/>
  <c r="J34" i="7"/>
  <c r="J35" i="7" s="1"/>
  <c r="H65" i="16"/>
  <c r="K6" i="16"/>
  <c r="I75" i="2"/>
  <c r="I76" i="2" s="1"/>
  <c r="I77" i="2" s="1"/>
  <c r="I78" i="2" s="1"/>
  <c r="I79" i="2" s="1"/>
  <c r="I80" i="2" s="1"/>
  <c r="I81" i="2" s="1"/>
  <c r="F82" i="2"/>
  <c r="I33" i="24"/>
  <c r="I34" i="24" s="1"/>
  <c r="I35" i="24" s="1"/>
  <c r="I36" i="24" s="1"/>
  <c r="I37" i="24" s="1"/>
  <c r="I38" i="24" s="1"/>
  <c r="I39" i="24" s="1"/>
  <c r="I40" i="24" s="1"/>
  <c r="I41" i="24" s="1"/>
  <c r="H42" i="24"/>
  <c r="G47" i="24" s="1"/>
  <c r="G51" i="24" s="1"/>
  <c r="G21" i="24"/>
  <c r="I9" i="24"/>
  <c r="I10" i="24" s="1"/>
  <c r="I11" i="24"/>
  <c r="I12" i="24"/>
  <c r="I13" i="24" s="1"/>
  <c r="I14" i="24"/>
  <c r="I15" i="24"/>
  <c r="I16" i="24" s="1"/>
  <c r="I17" i="24" s="1"/>
  <c r="I18" i="24" s="1"/>
  <c r="I19" i="24" s="1"/>
  <c r="I20" i="24" s="1"/>
  <c r="G12" i="16"/>
  <c r="J12" i="16" s="1"/>
  <c r="K44" i="16"/>
  <c r="K45" i="16" s="1"/>
  <c r="F82" i="16" s="1"/>
  <c r="G44" i="16"/>
  <c r="J44" i="16" s="1"/>
  <c r="I42" i="24"/>
  <c r="I43" i="24" s="1"/>
  <c r="I21" i="24"/>
  <c r="I22" i="24"/>
  <c r="I12" i="16"/>
  <c r="K86" i="15"/>
  <c r="K30" i="16"/>
  <c r="G129" i="4"/>
  <c r="H86" i="15" s="1"/>
  <c r="J262" i="4"/>
  <c r="I13" i="13"/>
  <c r="I14" i="13" s="1"/>
  <c r="I15" i="13" s="1"/>
  <c r="I16" i="13" s="1"/>
  <c r="I17" i="13" s="1"/>
  <c r="I62" i="13"/>
  <c r="I63" i="13" s="1"/>
  <c r="I64" i="13" s="1"/>
  <c r="I65" i="13" s="1"/>
  <c r="I66" i="13" s="1"/>
  <c r="I67" i="13" s="1"/>
  <c r="I68" i="13" s="1"/>
  <c r="I82" i="2"/>
  <c r="I83" i="2" s="1"/>
  <c r="H83" i="2"/>
  <c r="J36" i="7"/>
  <c r="J37" i="7" s="1"/>
  <c r="J38" i="7" s="1"/>
  <c r="J39" i="7" s="1"/>
  <c r="J40" i="7" s="1"/>
  <c r="J41" i="7" s="1"/>
  <c r="J42" i="7" s="1"/>
  <c r="J43" i="7" s="1"/>
  <c r="J44" i="7" s="1"/>
  <c r="J45" i="7" s="1"/>
  <c r="J46" i="7" s="1"/>
  <c r="J47" i="7" s="1"/>
  <c r="J48" i="7" s="1"/>
  <c r="H37" i="3"/>
  <c r="H67" i="15" s="1"/>
  <c r="K67" i="15"/>
  <c r="K87" i="15"/>
  <c r="K39" i="16"/>
  <c r="I69" i="13"/>
  <c r="I70" i="13"/>
  <c r="H70" i="13"/>
  <c r="I155" i="7"/>
  <c r="K41" i="16"/>
  <c r="K35" i="15"/>
  <c r="I9" i="20"/>
  <c r="I10" i="20"/>
  <c r="I11" i="20" s="1"/>
  <c r="I12" i="20" s="1"/>
  <c r="I13" i="20" s="1"/>
  <c r="I14" i="20" s="1"/>
  <c r="I15" i="20" s="1"/>
  <c r="I16" i="20" s="1"/>
  <c r="I17" i="20" s="1"/>
  <c r="I18" i="20" s="1"/>
  <c r="G35" i="15"/>
  <c r="H19" i="20"/>
  <c r="G7" i="16" s="1"/>
  <c r="J7" i="16" s="1"/>
  <c r="I19" i="20"/>
  <c r="I20" i="20"/>
  <c r="G34" i="15"/>
  <c r="G36" i="15" s="1"/>
  <c r="J36" i="15" s="1"/>
  <c r="G45" i="20"/>
  <c r="G47" i="20" s="1"/>
  <c r="G51" i="20" s="1"/>
  <c r="H20" i="20"/>
  <c r="J34" i="15"/>
  <c r="I34" i="15"/>
  <c r="G49" i="20"/>
  <c r="I7" i="16"/>
  <c r="I99" i="7"/>
  <c r="J98" i="7"/>
  <c r="J99" i="7" s="1"/>
  <c r="K21" i="15"/>
  <c r="K23" i="15" s="1"/>
  <c r="D96" i="15" s="1"/>
  <c r="H38" i="13"/>
  <c r="H18" i="13"/>
  <c r="H19" i="13"/>
  <c r="I18" i="13"/>
  <c r="I19" i="13" s="1"/>
  <c r="G28" i="15"/>
  <c r="I28" i="15" s="1"/>
  <c r="I30" i="15" s="1"/>
  <c r="G29" i="15"/>
  <c r="G30" i="15" s="1"/>
  <c r="I38" i="13"/>
  <c r="I39" i="13"/>
  <c r="H39" i="13"/>
  <c r="G53" i="16"/>
  <c r="J53" i="16" s="1"/>
  <c r="L54" i="16" s="1"/>
  <c r="I29" i="15"/>
  <c r="J29" i="15"/>
  <c r="F45" i="2"/>
  <c r="H40" i="16" s="1"/>
  <c r="F13" i="2"/>
  <c r="H6" i="16" s="1"/>
  <c r="H6" i="15"/>
  <c r="G97" i="2"/>
  <c r="I30" i="20"/>
  <c r="I31" i="20"/>
  <c r="I32" i="20"/>
  <c r="I33" i="20"/>
  <c r="I34" i="20"/>
  <c r="I35" i="20" s="1"/>
  <c r="F36" i="20"/>
  <c r="H35" i="15" s="1"/>
  <c r="F19" i="20"/>
  <c r="H7" i="16" s="1"/>
  <c r="G53" i="20"/>
  <c r="H41" i="16"/>
  <c r="H43" i="25"/>
  <c r="I43" i="25"/>
  <c r="I44" i="25" s="1"/>
  <c r="I36" i="25"/>
  <c r="I37" i="25"/>
  <c r="I38" i="25"/>
  <c r="I39" i="25" s="1"/>
  <c r="I40" i="25" s="1"/>
  <c r="I41" i="25" s="1"/>
  <c r="I42" i="25" s="1"/>
  <c r="H28" i="25"/>
  <c r="H29" i="25"/>
  <c r="I21" i="25"/>
  <c r="I22" i="25"/>
  <c r="I23" i="25"/>
  <c r="I24" i="25" s="1"/>
  <c r="I25" i="25" s="1"/>
  <c r="I26" i="25" s="1"/>
  <c r="I27" i="25" s="1"/>
  <c r="H13" i="25"/>
  <c r="H14" i="25"/>
  <c r="I8" i="25"/>
  <c r="I9" i="25" s="1"/>
  <c r="I10" i="25" s="1"/>
  <c r="I11" i="25" s="1"/>
  <c r="I12" i="25" s="1"/>
  <c r="F113" i="25"/>
  <c r="F117" i="25"/>
  <c r="H58" i="25"/>
  <c r="I58" i="25"/>
  <c r="I59" i="25" s="1"/>
  <c r="I51" i="25"/>
  <c r="I52" i="25"/>
  <c r="I53" i="25"/>
  <c r="I54" i="25" s="1"/>
  <c r="I55" i="25" s="1"/>
  <c r="I56" i="25" s="1"/>
  <c r="I57" i="25"/>
  <c r="H59" i="25"/>
  <c r="H88" i="25"/>
  <c r="I88" i="25"/>
  <c r="I89" i="25"/>
  <c r="I81" i="25"/>
  <c r="I82" i="25"/>
  <c r="I83" i="25"/>
  <c r="I84" i="25"/>
  <c r="I85" i="25" s="1"/>
  <c r="I86" i="25" s="1"/>
  <c r="I87" i="25" s="1"/>
  <c r="H73" i="25"/>
  <c r="I73" i="25" s="1"/>
  <c r="I74" i="25" s="1"/>
  <c r="I66" i="25"/>
  <c r="I67" i="25"/>
  <c r="I68" i="25"/>
  <c r="I69" i="25" s="1"/>
  <c r="I70" i="25" s="1"/>
  <c r="I71" i="25" s="1"/>
  <c r="I72" i="25" s="1"/>
  <c r="H89" i="25"/>
  <c r="H103" i="25"/>
  <c r="I96" i="25"/>
  <c r="I97" i="25" s="1"/>
  <c r="I98" i="25" s="1"/>
  <c r="I99" i="25" s="1"/>
  <c r="I100" i="25" s="1"/>
  <c r="I101" i="25" s="1"/>
  <c r="I102" i="25" s="1"/>
  <c r="H104" i="25"/>
  <c r="I103" i="25"/>
  <c r="I104" i="25" s="1"/>
  <c r="I92" i="8"/>
  <c r="I93" i="8"/>
  <c r="I94" i="8"/>
  <c r="H105" i="8"/>
  <c r="H122" i="8"/>
  <c r="G52" i="15"/>
  <c r="J52" i="15" s="1"/>
  <c r="I21" i="8"/>
  <c r="I22" i="8" s="1"/>
  <c r="I23" i="8" s="1"/>
  <c r="I24" i="8" s="1"/>
  <c r="I25" i="8" s="1"/>
  <c r="I26" i="8" s="1"/>
  <c r="I27" i="8" s="1"/>
  <c r="I28" i="8" s="1"/>
  <c r="I29" i="8" s="1"/>
  <c r="I103" i="8"/>
  <c r="I72" i="8"/>
  <c r="I73" i="8"/>
  <c r="I74" i="8"/>
  <c r="I75" i="8" s="1"/>
  <c r="I76" i="8" s="1"/>
  <c r="I77" i="8" s="1"/>
  <c r="I78" i="8" s="1"/>
  <c r="I79" i="8" s="1"/>
  <c r="H94" i="8" s="1"/>
  <c r="I132" i="8"/>
  <c r="I133" i="8"/>
  <c r="I134" i="8"/>
  <c r="I135" i="8" s="1"/>
  <c r="I136" i="8" s="1"/>
  <c r="I137" i="8" s="1"/>
  <c r="I138" i="8" s="1"/>
  <c r="I139" i="8" s="1"/>
  <c r="I140" i="8" s="1"/>
  <c r="I141" i="8" s="1"/>
  <c r="I142" i="8" s="1"/>
  <c r="G11" i="8"/>
  <c r="K47" i="15"/>
  <c r="F11" i="8"/>
  <c r="I47" i="15" s="1"/>
  <c r="H47" i="15"/>
  <c r="K49" i="16"/>
  <c r="K51" i="15"/>
  <c r="I51" i="15"/>
  <c r="J51" i="15"/>
  <c r="F143" i="8"/>
  <c r="F160" i="8"/>
  <c r="H143" i="8"/>
  <c r="H144" i="8"/>
  <c r="F93" i="8"/>
  <c r="H49" i="16"/>
  <c r="F105" i="8"/>
  <c r="G49" i="16"/>
  <c r="H11" i="8"/>
  <c r="H12" i="8" s="1"/>
  <c r="J47" i="15" s="1"/>
  <c r="G47" i="15"/>
  <c r="G143" i="8"/>
  <c r="K60" i="16"/>
  <c r="K61" i="16" s="1"/>
  <c r="F86" i="16" s="1"/>
  <c r="H160" i="8"/>
  <c r="I160" i="8" s="1"/>
  <c r="I161" i="8" s="1"/>
  <c r="G122" i="8"/>
  <c r="K64" i="16" s="1"/>
  <c r="G80" i="8"/>
  <c r="K42" i="16"/>
  <c r="G61" i="8"/>
  <c r="K31" i="16"/>
  <c r="K34" i="16"/>
  <c r="F79" i="16" s="1"/>
  <c r="F80" i="16" s="1"/>
  <c r="I104" i="8"/>
  <c r="F122" i="8"/>
  <c r="F30" i="8"/>
  <c r="H48" i="15"/>
  <c r="H30" i="8"/>
  <c r="F54" i="15"/>
  <c r="H80" i="8"/>
  <c r="F80" i="8"/>
  <c r="H42" i="16"/>
  <c r="G30" i="8"/>
  <c r="K50" i="15"/>
  <c r="K49" i="15"/>
  <c r="H31" i="8"/>
  <c r="G48" i="15"/>
  <c r="I30" i="8"/>
  <c r="I31" i="8" s="1"/>
  <c r="G20" i="16"/>
  <c r="H50" i="15"/>
  <c r="I52" i="15"/>
  <c r="H60" i="16"/>
  <c r="H53" i="15"/>
  <c r="I122" i="8"/>
  <c r="I123" i="8" s="1"/>
  <c r="H123" i="8"/>
  <c r="G64" i="16"/>
  <c r="I64" i="16" s="1"/>
  <c r="I8" i="8"/>
  <c r="I9" i="8" s="1"/>
  <c r="I10" i="8" s="1"/>
  <c r="K264" i="4"/>
  <c r="L264" i="4"/>
  <c r="K263" i="4"/>
  <c r="J260" i="4"/>
  <c r="H19" i="16"/>
  <c r="H84" i="15"/>
  <c r="F76" i="16"/>
  <c r="K25" i="16"/>
  <c r="K259" i="4"/>
  <c r="L259" i="4"/>
  <c r="K5" i="16"/>
  <c r="K83" i="15"/>
  <c r="K85" i="15"/>
  <c r="H30" i="16"/>
  <c r="K63" i="16"/>
  <c r="K66" i="16" s="1"/>
  <c r="F87" i="16" s="1"/>
  <c r="I159" i="4"/>
  <c r="J218" i="4"/>
  <c r="J219" i="4"/>
  <c r="J220" i="4" s="1"/>
  <c r="J221" i="4" s="1"/>
  <c r="J222" i="4" s="1"/>
  <c r="J223" i="4" s="1"/>
  <c r="J224" i="4" s="1"/>
  <c r="J225" i="4" s="1"/>
  <c r="J226" i="4" s="1"/>
  <c r="G53" i="15"/>
  <c r="I53" i="15" s="1"/>
  <c r="I11" i="8"/>
  <c r="I12" i="8" s="1"/>
  <c r="H51" i="15"/>
  <c r="H20" i="16"/>
  <c r="J49" i="16"/>
  <c r="I49" i="16"/>
  <c r="I20" i="16"/>
  <c r="J20" i="16"/>
  <c r="J64" i="16"/>
  <c r="J48" i="15"/>
  <c r="I48" i="15"/>
  <c r="J159" i="4"/>
  <c r="J160" i="4"/>
  <c r="G87" i="15"/>
  <c r="I160" i="4"/>
  <c r="G39" i="16"/>
  <c r="J39" i="16" s="1"/>
  <c r="J87" i="15"/>
  <c r="I87" i="15"/>
  <c r="F42" i="24"/>
  <c r="H44" i="16" s="1"/>
  <c r="J37" i="3"/>
  <c r="H15" i="3"/>
  <c r="H11" i="16" s="1"/>
  <c r="K10" i="3"/>
  <c r="K11" i="3"/>
  <c r="K12" i="3"/>
  <c r="K13" i="3" s="1"/>
  <c r="K14" i="3" s="1"/>
  <c r="G52" i="3"/>
  <c r="F61" i="8"/>
  <c r="H31" i="16"/>
  <c r="H49" i="15"/>
  <c r="H74" i="25"/>
  <c r="H44" i="25"/>
  <c r="I28" i="25"/>
  <c r="I29" i="25"/>
  <c r="I13" i="25"/>
  <c r="I14" i="25" s="1"/>
  <c r="F119" i="25"/>
  <c r="H267" i="4"/>
  <c r="H269" i="4"/>
  <c r="F90" i="15"/>
  <c r="G227" i="4"/>
  <c r="H89" i="15" s="1"/>
  <c r="I227" i="4"/>
  <c r="G180" i="4"/>
  <c r="I180" i="4"/>
  <c r="G159" i="4"/>
  <c r="J263" i="4" s="1"/>
  <c r="J140" i="4"/>
  <c r="J141" i="4"/>
  <c r="J142" i="4" s="1"/>
  <c r="J143" i="4" s="1"/>
  <c r="J144" i="4"/>
  <c r="J145" i="4" s="1"/>
  <c r="J146" i="4" s="1"/>
  <c r="J147" i="4" s="1"/>
  <c r="J148" i="4" s="1"/>
  <c r="J149" i="4" s="1"/>
  <c r="J150" i="4" s="1"/>
  <c r="J151" i="4" s="1"/>
  <c r="J152" i="4" s="1"/>
  <c r="J153" i="4" s="1"/>
  <c r="J154" i="4" s="1"/>
  <c r="J155" i="4" s="1"/>
  <c r="J156" i="4" s="1"/>
  <c r="J157" i="4" s="1"/>
  <c r="J158" i="4" s="1"/>
  <c r="I129" i="4"/>
  <c r="I262" i="4" s="1"/>
  <c r="I78" i="4"/>
  <c r="G5" i="16" s="1"/>
  <c r="I5" i="16" s="1"/>
  <c r="J64" i="4"/>
  <c r="J65" i="4" s="1"/>
  <c r="J66" i="4" s="1"/>
  <c r="J67" i="4"/>
  <c r="J68" i="4" s="1"/>
  <c r="J69" i="4" s="1"/>
  <c r="J70" i="4" s="1"/>
  <c r="J71" i="4" s="1"/>
  <c r="J72" i="4" s="1"/>
  <c r="J73" i="4" s="1"/>
  <c r="J74" i="4" s="1"/>
  <c r="J75" i="4" s="1"/>
  <c r="J76" i="4" s="1"/>
  <c r="J77" i="4" s="1"/>
  <c r="J44" i="4"/>
  <c r="J45" i="4" s="1"/>
  <c r="J46" i="4" s="1"/>
  <c r="J47" i="4" s="1"/>
  <c r="J48" i="4" s="1"/>
  <c r="J49" i="4" s="1"/>
  <c r="J50" i="4" s="1"/>
  <c r="J51" i="4" s="1"/>
  <c r="J52" i="4" s="1"/>
  <c r="G53" i="4"/>
  <c r="J259" i="4" s="1"/>
  <c r="I53" i="4"/>
  <c r="G63" i="16"/>
  <c r="I63" i="16" s="1"/>
  <c r="I266" i="4"/>
  <c r="L266" i="4" s="1"/>
  <c r="J266" i="4"/>
  <c r="H63" i="16"/>
  <c r="J180" i="4"/>
  <c r="J181" i="4" s="1"/>
  <c r="I181" i="4"/>
  <c r="G47" i="16"/>
  <c r="G88" i="15"/>
  <c r="H87" i="15"/>
  <c r="H39" i="16"/>
  <c r="J129" i="4"/>
  <c r="J130" i="4"/>
  <c r="G86" i="15"/>
  <c r="I130" i="4"/>
  <c r="G30" i="16"/>
  <c r="I30" i="16" s="1"/>
  <c r="I79" i="4"/>
  <c r="I54" i="4"/>
  <c r="J53" i="4"/>
  <c r="J54" i="4"/>
  <c r="G24" i="16"/>
  <c r="J24" i="16" s="1"/>
  <c r="L25" i="16" s="1"/>
  <c r="G85" i="15"/>
  <c r="H85" i="15"/>
  <c r="J63" i="16"/>
  <c r="I47" i="16"/>
  <c r="J47" i="16"/>
  <c r="J30" i="16"/>
  <c r="J86" i="15"/>
  <c r="I86" i="15"/>
  <c r="J85" i="15"/>
  <c r="I85" i="15"/>
  <c r="I24" i="16"/>
  <c r="H17" i="26"/>
  <c r="I88" i="15" l="1"/>
  <c r="J88" i="15"/>
  <c r="I105" i="8"/>
  <c r="K262" i="4"/>
  <c r="L262" i="4"/>
  <c r="H81" i="8"/>
  <c r="G50" i="15"/>
  <c r="J50" i="16"/>
  <c r="I50" i="16"/>
  <c r="K60" i="15"/>
  <c r="F60" i="9"/>
  <c r="K50" i="16"/>
  <c r="K34" i="15"/>
  <c r="K36" i="15" s="1"/>
  <c r="K7" i="16"/>
  <c r="G55" i="20"/>
  <c r="K266" i="4"/>
  <c r="H66" i="15"/>
  <c r="H68" i="15" s="1"/>
  <c r="G67" i="15"/>
  <c r="G43" i="16"/>
  <c r="J53" i="15"/>
  <c r="G21" i="15"/>
  <c r="J155" i="7"/>
  <c r="J156" i="7" s="1"/>
  <c r="I156" i="7"/>
  <c r="G55" i="24"/>
  <c r="I39" i="16"/>
  <c r="O67" i="16"/>
  <c r="K61" i="15"/>
  <c r="D99" i="15" s="1"/>
  <c r="L261" i="4"/>
  <c r="K261" i="4"/>
  <c r="I116" i="7"/>
  <c r="J109" i="7"/>
  <c r="J110" i="7" s="1"/>
  <c r="J111" i="7" s="1"/>
  <c r="J112" i="7" s="1"/>
  <c r="J113" i="7" s="1"/>
  <c r="J114" i="7" s="1"/>
  <c r="J115" i="7" s="1"/>
  <c r="H61" i="8"/>
  <c r="H50" i="16"/>
  <c r="H60" i="15"/>
  <c r="G77" i="15"/>
  <c r="G33" i="16"/>
  <c r="H22" i="23"/>
  <c r="F36" i="23"/>
  <c r="I21" i="23"/>
  <c r="I22" i="23" s="1"/>
  <c r="J5" i="16"/>
  <c r="G83" i="15"/>
  <c r="G42" i="16"/>
  <c r="K52" i="15"/>
  <c r="I35" i="15"/>
  <c r="J35" i="15"/>
  <c r="H47" i="16"/>
  <c r="H88" i="15"/>
  <c r="K20" i="16"/>
  <c r="K48" i="15"/>
  <c r="F88" i="16"/>
  <c r="J205" i="7"/>
  <c r="J201" i="7"/>
  <c r="I8" i="2"/>
  <c r="I9" i="2" s="1"/>
  <c r="I10" i="2" s="1"/>
  <c r="I11" i="2" s="1"/>
  <c r="I12" i="2" s="1"/>
  <c r="H13" i="2"/>
  <c r="J165" i="7"/>
  <c r="J169" i="7"/>
  <c r="J78" i="4"/>
  <c r="J79" i="4" s="1"/>
  <c r="J264" i="4"/>
  <c r="I228" i="4"/>
  <c r="G89" i="15"/>
  <c r="J227" i="4"/>
  <c r="J228" i="4" s="1"/>
  <c r="J38" i="3"/>
  <c r="I80" i="8"/>
  <c r="I81" i="8" s="1"/>
  <c r="F173" i="8"/>
  <c r="H64" i="16"/>
  <c r="H52" i="15"/>
  <c r="H54" i="15" s="1"/>
  <c r="G175" i="8"/>
  <c r="K53" i="15"/>
  <c r="I143" i="8"/>
  <c r="I144" i="8" s="1"/>
  <c r="G60" i="16"/>
  <c r="J189" i="7"/>
  <c r="J190" i="7" s="1"/>
  <c r="I190" i="7"/>
  <c r="G227" i="7"/>
  <c r="J28" i="15"/>
  <c r="F19" i="21"/>
  <c r="H26" i="2"/>
  <c r="I22" i="2"/>
  <c r="I23" i="2" s="1"/>
  <c r="I24" i="2" s="1"/>
  <c r="I25" i="2" s="1"/>
  <c r="H16" i="22"/>
  <c r="H99" i="13"/>
  <c r="I92" i="13"/>
  <c r="I93" i="13" s="1"/>
  <c r="I94" i="13" s="1"/>
  <c r="I95" i="13" s="1"/>
  <c r="I96" i="13" s="1"/>
  <c r="I97" i="13" s="1"/>
  <c r="I98" i="13" s="1"/>
  <c r="I36" i="15"/>
  <c r="J171" i="7"/>
  <c r="J172" i="7" s="1"/>
  <c r="G22" i="15"/>
  <c r="I40" i="16"/>
  <c r="J40" i="16"/>
  <c r="H46" i="2"/>
  <c r="G6" i="15"/>
  <c r="H161" i="8"/>
  <c r="H5" i="15"/>
  <c r="H8" i="15" s="1"/>
  <c r="I53" i="16"/>
  <c r="G49" i="24"/>
  <c r="G53" i="24" s="1"/>
  <c r="H43" i="24"/>
  <c r="G14" i="15"/>
  <c r="G48" i="16"/>
  <c r="G26" i="18"/>
  <c r="G27" i="18" s="1"/>
  <c r="G84" i="15"/>
  <c r="I260" i="4"/>
  <c r="I34" i="4"/>
  <c r="G19" i="16"/>
  <c r="H34" i="15"/>
  <c r="H36" i="15" s="1"/>
  <c r="H43" i="16"/>
  <c r="I44" i="16"/>
  <c r="J70" i="7"/>
  <c r="J71" i="7" s="1"/>
  <c r="I71" i="7"/>
  <c r="I45" i="2"/>
  <c r="I46" i="2" s="1"/>
  <c r="F13" i="18"/>
  <c r="G12" i="9"/>
  <c r="G13" i="9" s="1"/>
  <c r="K48" i="16"/>
  <c r="K14" i="15"/>
  <c r="K15" i="15" s="1"/>
  <c r="D95" i="15" s="1"/>
  <c r="F53" i="18"/>
  <c r="F26" i="2"/>
  <c r="H37" i="20"/>
  <c r="I36" i="20"/>
  <c r="I37" i="20" s="1"/>
  <c r="G41" i="16"/>
  <c r="I36" i="2"/>
  <c r="I37" i="2" s="1"/>
  <c r="I38" i="2" s="1"/>
  <c r="I39" i="2" s="1"/>
  <c r="I40" i="2" s="1"/>
  <c r="I41" i="2" s="1"/>
  <c r="I42" i="2" s="1"/>
  <c r="I43" i="2" s="1"/>
  <c r="I44" i="2" s="1"/>
  <c r="F14" i="9"/>
  <c r="K12" i="16"/>
  <c r="G57" i="24"/>
  <c r="H33" i="16"/>
  <c r="F28" i="23"/>
  <c r="F32" i="23" s="1"/>
  <c r="I39" i="21"/>
  <c r="I40" i="21" s="1"/>
  <c r="G44" i="21"/>
  <c r="H56" i="2"/>
  <c r="I53" i="2"/>
  <c r="I54" i="2" s="1"/>
  <c r="I55" i="2" s="1"/>
  <c r="D13" i="18"/>
  <c r="J187" i="7"/>
  <c r="J183" i="7"/>
  <c r="C130" i="4"/>
  <c r="I209" i="4"/>
  <c r="F247" i="4" s="1"/>
  <c r="F250" i="4" s="1"/>
  <c r="G39" i="21"/>
  <c r="I53" i="13"/>
  <c r="I54" i="13" s="1"/>
  <c r="H54" i="13"/>
  <c r="G60" i="15"/>
  <c r="G10" i="18"/>
  <c r="G11" i="18" s="1"/>
  <c r="G12" i="18" s="1"/>
  <c r="G78" i="4"/>
  <c r="K25" i="3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K38" i="3" s="1"/>
  <c r="F30" i="15"/>
  <c r="J30" i="15" s="1"/>
  <c r="E97" i="15" s="1"/>
  <c r="H19" i="21"/>
  <c r="I8" i="21"/>
  <c r="I9" i="21" s="1"/>
  <c r="I10" i="21" s="1"/>
  <c r="I11" i="21" s="1"/>
  <c r="I12" i="21" s="1"/>
  <c r="I13" i="21" s="1"/>
  <c r="I14" i="21" s="1"/>
  <c r="I15" i="21" s="1"/>
  <c r="I16" i="21" s="1"/>
  <c r="I17" i="21" s="1"/>
  <c r="I18" i="21" s="1"/>
  <c r="G49" i="7"/>
  <c r="F38" i="13"/>
  <c r="G208" i="7"/>
  <c r="H208" i="7"/>
  <c r="F43" i="25"/>
  <c r="G16" i="26"/>
  <c r="F108" i="26" s="1"/>
  <c r="F99" i="13"/>
  <c r="I40" i="8"/>
  <c r="I41" i="8" s="1"/>
  <c r="I42" i="8" s="1"/>
  <c r="I43" i="8" s="1"/>
  <c r="I44" i="8" s="1"/>
  <c r="I45" i="8" s="1"/>
  <c r="I46" i="8" s="1"/>
  <c r="I47" i="8" s="1"/>
  <c r="I48" i="8" s="1"/>
  <c r="I49" i="8" s="1"/>
  <c r="I50" i="8" s="1"/>
  <c r="I51" i="8" s="1"/>
  <c r="I52" i="8" s="1"/>
  <c r="I53" i="8" s="1"/>
  <c r="I54" i="8" s="1"/>
  <c r="I55" i="8" s="1"/>
  <c r="I56" i="8" s="1"/>
  <c r="I57" i="8" s="1"/>
  <c r="I58" i="8" s="1"/>
  <c r="I59" i="8" s="1"/>
  <c r="I60" i="8" s="1"/>
  <c r="F39" i="21"/>
  <c r="G52" i="21" s="1"/>
  <c r="K7" i="15"/>
  <c r="K8" i="15" s="1"/>
  <c r="D94" i="15" s="1"/>
  <c r="F16" i="26"/>
  <c r="G155" i="7"/>
  <c r="F43" i="9"/>
  <c r="G36" i="9"/>
  <c r="H67" i="2"/>
  <c r="I64" i="2"/>
  <c r="I65" i="2" s="1"/>
  <c r="I66" i="2" s="1"/>
  <c r="H98" i="7"/>
  <c r="H33" i="4"/>
  <c r="G82" i="2"/>
  <c r="F99" i="2" s="1"/>
  <c r="H39" i="26"/>
  <c r="H40" i="26" s="1"/>
  <c r="H41" i="26" s="1"/>
  <c r="H42" i="26" s="1"/>
  <c r="H43" i="26" s="1"/>
  <c r="H44" i="26" s="1"/>
  <c r="H45" i="26" s="1"/>
  <c r="H46" i="26" s="1"/>
  <c r="H47" i="26" s="1"/>
  <c r="F46" i="26"/>
  <c r="H26" i="26"/>
  <c r="H27" i="26" s="1"/>
  <c r="H28" i="26" s="1"/>
  <c r="H29" i="26" s="1"/>
  <c r="H30" i="26" s="1"/>
  <c r="H31" i="26" s="1"/>
  <c r="H70" i="26"/>
  <c r="H71" i="26" s="1"/>
  <c r="H72" i="26" s="1"/>
  <c r="H73" i="26" s="1"/>
  <c r="H74" i="26" s="1"/>
  <c r="H75" i="26" s="1"/>
  <c r="H76" i="26" s="1"/>
  <c r="H77" i="26" s="1"/>
  <c r="F68" i="15"/>
  <c r="F23" i="15"/>
  <c r="D26" i="18"/>
  <c r="F51" i="18" s="1"/>
  <c r="F38" i="18"/>
  <c r="G34" i="18"/>
  <c r="G35" i="18" s="1"/>
  <c r="G36" i="18" s="1"/>
  <c r="G37" i="18" s="1"/>
  <c r="F28" i="25"/>
  <c r="G61" i="26"/>
  <c r="I15" i="3"/>
  <c r="D14" i="9"/>
  <c r="J15" i="3"/>
  <c r="F91" i="26"/>
  <c r="H91" i="26" s="1"/>
  <c r="H92" i="26" s="1"/>
  <c r="I114" i="8"/>
  <c r="I115" i="8" s="1"/>
  <c r="I116" i="8" s="1"/>
  <c r="I117" i="8" s="1"/>
  <c r="I118" i="8" s="1"/>
  <c r="I119" i="8" s="1"/>
  <c r="I120" i="8" s="1"/>
  <c r="I121" i="8" s="1"/>
  <c r="G19" i="21"/>
  <c r="I153" i="8"/>
  <c r="I154" i="8" s="1"/>
  <c r="I155" i="8" s="1"/>
  <c r="I156" i="8" s="1"/>
  <c r="I157" i="8" s="1"/>
  <c r="I158" i="8" s="1"/>
  <c r="I159" i="8" s="1"/>
  <c r="G38" i="13"/>
  <c r="C210" i="4"/>
  <c r="H180" i="4"/>
  <c r="F58" i="25"/>
  <c r="H55" i="26"/>
  <c r="H56" i="26" s="1"/>
  <c r="H57" i="26" s="1"/>
  <c r="H58" i="26" s="1"/>
  <c r="H59" i="26" s="1"/>
  <c r="H60" i="26" s="1"/>
  <c r="H61" i="26" s="1"/>
  <c r="H62" i="26" s="1"/>
  <c r="L45" i="16" l="1"/>
  <c r="I89" i="15"/>
  <c r="J89" i="15"/>
  <c r="J188" i="7"/>
  <c r="J184" i="7"/>
  <c r="J185" i="7" s="1"/>
  <c r="J186" i="7" s="1"/>
  <c r="J84" i="15"/>
  <c r="I84" i="15"/>
  <c r="I117" i="7"/>
  <c r="J116" i="7"/>
  <c r="J117" i="7" s="1"/>
  <c r="H53" i="16"/>
  <c r="H29" i="15"/>
  <c r="H30" i="15" s="1"/>
  <c r="G229" i="7"/>
  <c r="G233" i="7" s="1"/>
  <c r="G231" i="7"/>
  <c r="H59" i="15"/>
  <c r="H61" i="15" s="1"/>
  <c r="H10" i="16"/>
  <c r="F30" i="23"/>
  <c r="F34" i="23" s="1"/>
  <c r="J6" i="15"/>
  <c r="I6" i="15"/>
  <c r="J50" i="15"/>
  <c r="I50" i="15"/>
  <c r="K84" i="15"/>
  <c r="K19" i="16"/>
  <c r="K21" i="16" s="1"/>
  <c r="F75" i="16" s="1"/>
  <c r="F77" i="16" s="1"/>
  <c r="F254" i="4"/>
  <c r="K88" i="15"/>
  <c r="K47" i="16"/>
  <c r="K51" i="16" s="1"/>
  <c r="F83" i="16" s="1"/>
  <c r="F84" i="16" s="1"/>
  <c r="K53" i="16"/>
  <c r="K54" i="16" s="1"/>
  <c r="K29" i="15"/>
  <c r="K30" i="15" s="1"/>
  <c r="D97" i="15" s="1"/>
  <c r="G114" i="13"/>
  <c r="J48" i="16"/>
  <c r="L51" i="16" s="1"/>
  <c r="I48" i="16"/>
  <c r="I99" i="13"/>
  <c r="I100" i="13" s="1"/>
  <c r="H100" i="13"/>
  <c r="G104" i="13"/>
  <c r="J33" i="16"/>
  <c r="I33" i="16"/>
  <c r="I21" i="15"/>
  <c r="G23" i="15"/>
  <c r="J23" i="15" s="1"/>
  <c r="E96" i="15" s="1"/>
  <c r="J21" i="15"/>
  <c r="J206" i="7"/>
  <c r="J202" i="7"/>
  <c r="J207" i="7" s="1"/>
  <c r="I223" i="7" s="1"/>
  <c r="G112" i="13"/>
  <c r="I19" i="21"/>
  <c r="I20" i="21" s="1"/>
  <c r="G8" i="16"/>
  <c r="G41" i="15"/>
  <c r="H20" i="21"/>
  <c r="H13" i="15"/>
  <c r="H15" i="15" s="1"/>
  <c r="H9" i="16"/>
  <c r="J14" i="15"/>
  <c r="I14" i="15"/>
  <c r="G23" i="22"/>
  <c r="G72" i="15"/>
  <c r="H32" i="16"/>
  <c r="I16" i="22"/>
  <c r="I17" i="22" s="1"/>
  <c r="H17" i="22"/>
  <c r="K54" i="15"/>
  <c r="D98" i="15" s="1"/>
  <c r="I77" i="15"/>
  <c r="I78" i="15" s="1"/>
  <c r="J77" i="15"/>
  <c r="G78" i="15"/>
  <c r="J78" i="15" s="1"/>
  <c r="K260" i="4"/>
  <c r="I267" i="4"/>
  <c r="L260" i="4"/>
  <c r="J16" i="3"/>
  <c r="G66" i="15"/>
  <c r="K15" i="3"/>
  <c r="K16" i="3" s="1"/>
  <c r="G11" i="16"/>
  <c r="G44" i="3"/>
  <c r="I60" i="15"/>
  <c r="J60" i="15"/>
  <c r="K11" i="16"/>
  <c r="K13" i="16" s="1"/>
  <c r="F72" i="16" s="1"/>
  <c r="F73" i="16" s="1"/>
  <c r="G54" i="3"/>
  <c r="K66" i="15"/>
  <c r="K68" i="15" s="1"/>
  <c r="D100" i="15" s="1"/>
  <c r="I67" i="2"/>
  <c r="I68" i="2" s="1"/>
  <c r="H68" i="2"/>
  <c r="F89" i="2"/>
  <c r="G43" i="9"/>
  <c r="G44" i="9" s="1"/>
  <c r="F50" i="9"/>
  <c r="F44" i="9"/>
  <c r="G14" i="9"/>
  <c r="G15" i="9" s="1"/>
  <c r="G59" i="15"/>
  <c r="F15" i="9"/>
  <c r="G10" i="16"/>
  <c r="J60" i="16"/>
  <c r="L61" i="16" s="1"/>
  <c r="I60" i="16"/>
  <c r="J170" i="7"/>
  <c r="J166" i="7"/>
  <c r="J167" i="7" s="1"/>
  <c r="J168" i="7" s="1"/>
  <c r="J42" i="16"/>
  <c r="I42" i="16"/>
  <c r="F58" i="9"/>
  <c r="G237" i="7"/>
  <c r="G54" i="21"/>
  <c r="G7" i="15"/>
  <c r="H57" i="2"/>
  <c r="G65" i="16"/>
  <c r="I56" i="2"/>
  <c r="I57" i="2" s="1"/>
  <c r="I19" i="16"/>
  <c r="J19" i="16"/>
  <c r="L21" i="16" s="1"/>
  <c r="H27" i="2"/>
  <c r="I26" i="2"/>
  <c r="I27" i="2" s="1"/>
  <c r="G6" i="16"/>
  <c r="H14" i="2"/>
  <c r="I13" i="2"/>
  <c r="I14" i="2" s="1"/>
  <c r="G5" i="15"/>
  <c r="J83" i="15"/>
  <c r="I83" i="15"/>
  <c r="I90" i="15" s="1"/>
  <c r="G90" i="15"/>
  <c r="J90" i="15" s="1"/>
  <c r="E101" i="15" s="1"/>
  <c r="I43" i="16"/>
  <c r="J43" i="16"/>
  <c r="H14" i="15"/>
  <c r="H48" i="16"/>
  <c r="K41" i="15"/>
  <c r="K42" i="15" s="1"/>
  <c r="K8" i="16"/>
  <c r="F39" i="18"/>
  <c r="F43" i="18"/>
  <c r="G38" i="18"/>
  <c r="G39" i="18" s="1"/>
  <c r="F98" i="26"/>
  <c r="H16" i="26"/>
  <c r="G235" i="7"/>
  <c r="H83" i="15"/>
  <c r="H90" i="15" s="1"/>
  <c r="J261" i="4"/>
  <c r="J267" i="4" s="1"/>
  <c r="J269" i="4" s="1"/>
  <c r="H5" i="16"/>
  <c r="F252" i="4"/>
  <c r="I265" i="4"/>
  <c r="I210" i="4"/>
  <c r="J209" i="4"/>
  <c r="J210" i="4" s="1"/>
  <c r="G48" i="21"/>
  <c r="G46" i="21"/>
  <c r="G50" i="21" s="1"/>
  <c r="J41" i="16"/>
  <c r="I41" i="16"/>
  <c r="F14" i="18"/>
  <c r="G13" i="18"/>
  <c r="G14" i="18" s="1"/>
  <c r="G13" i="15"/>
  <c r="G9" i="16"/>
  <c r="J22" i="15"/>
  <c r="I22" i="15"/>
  <c r="H41" i="15"/>
  <c r="H42" i="15" s="1"/>
  <c r="H8" i="16"/>
  <c r="G31" i="16"/>
  <c r="G49" i="15"/>
  <c r="H62" i="8"/>
  <c r="I61" i="8"/>
  <c r="I62" i="8" s="1"/>
  <c r="J67" i="15"/>
  <c r="I67" i="15"/>
  <c r="F165" i="8"/>
  <c r="E91" i="16" l="1"/>
  <c r="J49" i="15"/>
  <c r="J54" i="15" s="1"/>
  <c r="E98" i="15" s="1"/>
  <c r="I49" i="15"/>
  <c r="I54" i="15" s="1"/>
  <c r="G54" i="15"/>
  <c r="I13" i="15"/>
  <c r="I15" i="15" s="1"/>
  <c r="G15" i="15"/>
  <c r="J15" i="15" s="1"/>
  <c r="E95" i="15" s="1"/>
  <c r="J13" i="15"/>
  <c r="F102" i="26"/>
  <c r="F100" i="26"/>
  <c r="F104" i="26" s="1"/>
  <c r="I6" i="16"/>
  <c r="J6" i="16"/>
  <c r="I7" i="15"/>
  <c r="J7" i="15"/>
  <c r="J41" i="15"/>
  <c r="G42" i="15"/>
  <c r="J42" i="15" s="1"/>
  <c r="I41" i="15"/>
  <c r="I42" i="15" s="1"/>
  <c r="G91" i="2"/>
  <c r="G93" i="2"/>
  <c r="G95" i="2" s="1"/>
  <c r="G48" i="3"/>
  <c r="G46" i="3"/>
  <c r="G50" i="3" s="1"/>
  <c r="I72" i="15"/>
  <c r="I73" i="15" s="1"/>
  <c r="J72" i="15"/>
  <c r="G73" i="15"/>
  <c r="J73" i="15" s="1"/>
  <c r="I8" i="16"/>
  <c r="J8" i="16"/>
  <c r="J5" i="15"/>
  <c r="I5" i="15"/>
  <c r="I8" i="15" s="1"/>
  <c r="G8" i="15"/>
  <c r="J8" i="15" s="1"/>
  <c r="E94" i="15" s="1"/>
  <c r="J65" i="16"/>
  <c r="L66" i="16" s="1"/>
  <c r="I65" i="16"/>
  <c r="G108" i="13"/>
  <c r="G106" i="13"/>
  <c r="G110" i="13" s="1"/>
  <c r="I9" i="16"/>
  <c r="J9" i="16"/>
  <c r="I269" i="4"/>
  <c r="K267" i="4"/>
  <c r="K269" i="4" s="1"/>
  <c r="L267" i="4"/>
  <c r="L269" i="4" s="1"/>
  <c r="L265" i="4"/>
  <c r="K265" i="4"/>
  <c r="F45" i="18"/>
  <c r="F49" i="18" s="1"/>
  <c r="F47" i="18"/>
  <c r="I10" i="16"/>
  <c r="J10" i="16"/>
  <c r="J11" i="16"/>
  <c r="I11" i="16"/>
  <c r="G27" i="22"/>
  <c r="G25" i="22"/>
  <c r="G29" i="22" s="1"/>
  <c r="I23" i="15"/>
  <c r="K90" i="15"/>
  <c r="D101" i="15" s="1"/>
  <c r="D102" i="15" s="1"/>
  <c r="F54" i="9"/>
  <c r="F52" i="9"/>
  <c r="F56" i="9" s="1"/>
  <c r="J31" i="16"/>
  <c r="L34" i="16" s="1"/>
  <c r="I31" i="16"/>
  <c r="F169" i="8"/>
  <c r="F167" i="8"/>
  <c r="F171" i="8" s="1"/>
  <c r="I59" i="15"/>
  <c r="I61" i="15" s="1"/>
  <c r="J59" i="15"/>
  <c r="G61" i="15"/>
  <c r="J61" i="15" s="1"/>
  <c r="E99" i="15" s="1"/>
  <c r="I66" i="15"/>
  <c r="I68" i="15" s="1"/>
  <c r="J66" i="15"/>
  <c r="G68" i="15"/>
  <c r="J68" i="15" s="1"/>
  <c r="E100" i="15" s="1"/>
  <c r="L13" i="16" l="1"/>
  <c r="G26" i="9" l="1"/>
  <c r="G25" i="9"/>
  <c r="G24" i="9"/>
  <c r="G37" i="9"/>
  <c r="G38" i="9"/>
  <c r="G39" i="9"/>
  <c r="G40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PT.KALATHAM</author>
  </authors>
  <commentList>
    <comment ref="N47" authorId="0" shapeId="0" xr:uid="{F26EDBF2-668B-49E1-8641-85EAD7F6D4D9}">
      <text>
        <r>
          <rPr>
            <b/>
            <sz val="9"/>
            <color indexed="81"/>
            <rFont val="Tahoma"/>
            <family val="2"/>
          </rPr>
          <t>PT.KALATHAM: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PT.KALATHAM</author>
  </authors>
  <commentList>
    <comment ref="P106" authorId="0" shapeId="0" xr:uid="{FFDEB9CF-67E4-45A7-8017-D3DA7977F6B7}">
      <text>
        <r>
          <rPr>
            <b/>
            <sz val="9"/>
            <color indexed="81"/>
            <rFont val="Tahoma"/>
            <family val="2"/>
          </rPr>
          <t>PT.KALATHAM: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<sst xmlns="http://schemas.openxmlformats.org/spreadsheetml/2006/main" count="2399" uniqueCount="302">
  <si>
    <t>PRODUK</t>
  </si>
  <si>
    <t>TOKO</t>
  </si>
  <si>
    <t>NO. SPB</t>
  </si>
  <si>
    <t>TANGGAL</t>
  </si>
  <si>
    <t>B 100</t>
  </si>
  <si>
    <t>D 100</t>
  </si>
  <si>
    <t>B 500</t>
  </si>
  <si>
    <t xml:space="preserve">D 500 </t>
  </si>
  <si>
    <t>RUPIAH</t>
  </si>
  <si>
    <t>KG</t>
  </si>
  <si>
    <t xml:space="preserve">J U M L A H </t>
  </si>
  <si>
    <t>TARGET</t>
  </si>
  <si>
    <t>KURANG</t>
  </si>
  <si>
    <t>TEMPO</t>
  </si>
  <si>
    <t>HARI</t>
  </si>
  <si>
    <t xml:space="preserve">PELUNASAN </t>
  </si>
  <si>
    <t xml:space="preserve">G A N D A S I L </t>
  </si>
  <si>
    <t xml:space="preserve">K E M A S A N </t>
  </si>
  <si>
    <t xml:space="preserve">Jumlah </t>
  </si>
  <si>
    <t>KEMASAN</t>
  </si>
  <si>
    <t>MAX</t>
  </si>
  <si>
    <t>REG</t>
  </si>
  <si>
    <t>SUB</t>
  </si>
  <si>
    <t>DUS</t>
  </si>
  <si>
    <t xml:space="preserve">J  U  M  L  A  H </t>
  </si>
  <si>
    <t xml:space="preserve">G A N D A P A N </t>
  </si>
  <si>
    <t xml:space="preserve">S U M B E R  M A K M U R  -  J O M B A N G </t>
  </si>
  <si>
    <t>100 CC</t>
  </si>
  <si>
    <t>1 LITER</t>
  </si>
  <si>
    <t>LITER</t>
  </si>
  <si>
    <t>500 CC</t>
  </si>
  <si>
    <t xml:space="preserve">JUMLAH </t>
  </si>
  <si>
    <t xml:space="preserve">RUPIAH </t>
  </si>
  <si>
    <t xml:space="preserve">DUS </t>
  </si>
  <si>
    <t>JUMLAH</t>
  </si>
  <si>
    <t xml:space="preserve">S U M B E R  M A K M U R  -  M A L A N G </t>
  </si>
  <si>
    <t xml:space="preserve">D E K A M O N  1 , 2 G </t>
  </si>
  <si>
    <t xml:space="preserve">M A S A L G I N  5 0  W P </t>
  </si>
  <si>
    <t xml:space="preserve">1 KG </t>
  </si>
  <si>
    <t>1 KG</t>
  </si>
  <si>
    <t xml:space="preserve">G A N D A S T A R </t>
  </si>
  <si>
    <t xml:space="preserve">A G R O  P R I M A  -  D E N P A S A R -  B A L I </t>
  </si>
  <si>
    <t>500 gr</t>
  </si>
  <si>
    <t>50 gr</t>
  </si>
  <si>
    <t>100 gr</t>
  </si>
  <si>
    <t>200 gr</t>
  </si>
  <si>
    <t>Capai %</t>
  </si>
  <si>
    <t>Total Jumlah Dus</t>
  </si>
  <si>
    <t>Rata-2   %  pencapaian target</t>
  </si>
  <si>
    <t>Rata-2   %  kurang capai target</t>
  </si>
  <si>
    <t xml:space="preserve">Rata-2   %   pencapaian target Toko </t>
  </si>
  <si>
    <t>Rata-2   %  kurang pencapaian target Toko</t>
  </si>
  <si>
    <t>Total Jumlah DUS pencapaian Toko yang ditarget</t>
  </si>
  <si>
    <t>Total jumlah LITER pencapaian target Toko</t>
  </si>
  <si>
    <t>Total jumlah Kg pencapaian target Toko</t>
  </si>
  <si>
    <t>Total jumlah  Kg pencapaian target Toko</t>
  </si>
  <si>
    <t>Total jumlah  LITER pencapaian target Toko</t>
  </si>
  <si>
    <t xml:space="preserve">Total nilai  Jumlah RUPIAH Toko yang ditarget </t>
  </si>
  <si>
    <t xml:space="preserve">Total Jumlah DUS DEKAMON 1,2 G Toko yang ditarget </t>
  </si>
  <si>
    <t>AREA</t>
  </si>
  <si>
    <t>No.</t>
  </si>
  <si>
    <t>NAMA TOKO</t>
  </si>
  <si>
    <t>PENJUALAN</t>
  </si>
  <si>
    <t>CAPAI</t>
  </si>
  <si>
    <t>%</t>
  </si>
  <si>
    <t>KURANG /</t>
  </si>
  <si>
    <t>SUMBER MAKMUR</t>
  </si>
  <si>
    <t>JOMBANG</t>
  </si>
  <si>
    <t>PONOROGO</t>
  </si>
  <si>
    <t>JEMBER</t>
  </si>
  <si>
    <t>BANYUWANGI</t>
  </si>
  <si>
    <t>MALANG</t>
  </si>
  <si>
    <t>TANI SEJATI</t>
  </si>
  <si>
    <t xml:space="preserve">NAMA TOKO </t>
  </si>
  <si>
    <t xml:space="preserve">NAMA PRODUK </t>
  </si>
  <si>
    <t xml:space="preserve">PENJUALAN </t>
  </si>
  <si>
    <t>KRG/LBH</t>
  </si>
  <si>
    <t xml:space="preserve">TERCAPAI </t>
  </si>
  <si>
    <t>DUS/TH</t>
  </si>
  <si>
    <t>KG / LTR</t>
  </si>
  <si>
    <t xml:space="preserve">Gandapan </t>
  </si>
  <si>
    <t>Dekamon 22,43 L</t>
  </si>
  <si>
    <t xml:space="preserve">Masalgin 50 WP </t>
  </si>
  <si>
    <t>Dekamon 1,2 G</t>
  </si>
  <si>
    <t>GANDASIL</t>
  </si>
  <si>
    <t xml:space="preserve">JEMBER </t>
  </si>
  <si>
    <t>Gandastar</t>
  </si>
  <si>
    <t>Gandapan</t>
  </si>
  <si>
    <t>Masalgin 50 WP</t>
  </si>
  <si>
    <t xml:space="preserve">AGRO PRIMA </t>
  </si>
  <si>
    <t>Jumlah</t>
  </si>
  <si>
    <t>Rp.</t>
  </si>
  <si>
    <t>NAMA PRODAK</t>
  </si>
  <si>
    <t xml:space="preserve">GANDAPAN </t>
  </si>
  <si>
    <t xml:space="preserve">REKAPAN OMZET PENJUALAN PRODAK YANG DIPROGAM BERDASARKAN PENCAPAIAN TOKO </t>
  </si>
  <si>
    <t>Ponorogo</t>
  </si>
  <si>
    <t>Sumber Makmur</t>
  </si>
  <si>
    <t>Jombang</t>
  </si>
  <si>
    <t>Probolinggo</t>
  </si>
  <si>
    <t>Tani Sejati</t>
  </si>
  <si>
    <t>Malang</t>
  </si>
  <si>
    <t>DEKAMON 22,43 L</t>
  </si>
  <si>
    <t>Jember</t>
  </si>
  <si>
    <t>Banyuwangi</t>
  </si>
  <si>
    <t>TOTAL KHUSUS TOKO YANG PROGAM</t>
  </si>
  <si>
    <t>DEKAMON 1,2 G</t>
  </si>
  <si>
    <t xml:space="preserve">Malang </t>
  </si>
  <si>
    <t>MASALGIN 50 WP</t>
  </si>
  <si>
    <t>Batu</t>
  </si>
  <si>
    <t xml:space="preserve">GANDASTAR </t>
  </si>
  <si>
    <t>Agro Prima</t>
  </si>
  <si>
    <t>Total Jumlah Dus kurang Target</t>
  </si>
  <si>
    <t>Total Jumlah Kg capai target Toko</t>
  </si>
  <si>
    <t xml:space="preserve">Total jumlah kekurangan DUS capai target </t>
  </si>
  <si>
    <t>Total Jumlah DUS pencapaian Toko target</t>
  </si>
  <si>
    <t>Total Jumlah DUS pencapaian Toko ditarget</t>
  </si>
  <si>
    <t xml:space="preserve">Total Jumlah DUS GANDASTAR Toko ditarget </t>
  </si>
  <si>
    <t xml:space="preserve">Total nilai  Jumlah RUPIAH Toko ditarget </t>
  </si>
  <si>
    <t xml:space="preserve">Total nilai  Jumlah RUPIAH Toko  ditarget </t>
  </si>
  <si>
    <t>DEKASTAR</t>
  </si>
  <si>
    <t xml:space="preserve">ALAMAT </t>
  </si>
  <si>
    <t xml:space="preserve">Rata-2   %  kurang pencapaian target </t>
  </si>
  <si>
    <t xml:space="preserve">Total nilai  Jumlah RUPIAH Toko  </t>
  </si>
  <si>
    <t>Rata-2   %  kurang pencapaian Toko</t>
  </si>
  <si>
    <t xml:space="preserve">Total jumlah kekurangan DUS Toko  </t>
  </si>
  <si>
    <t xml:space="preserve">Total Jumlah DUS pencapaian Toko </t>
  </si>
  <si>
    <t>No. SPB</t>
  </si>
  <si>
    <t xml:space="preserve">Total jumlah kekurangan DUS Toko </t>
  </si>
  <si>
    <t>1 Liter</t>
  </si>
  <si>
    <t>URUT</t>
  </si>
  <si>
    <t>NGANJUK</t>
  </si>
  <si>
    <t>Urut</t>
  </si>
  <si>
    <t>5 LITER</t>
  </si>
  <si>
    <t>MAHATMA AGRO</t>
  </si>
  <si>
    <t>PT.KARISMA INDOAGRO</t>
  </si>
  <si>
    <t xml:space="preserve">K A R I S M A  I N D O A G R O  -  J E M B E R </t>
  </si>
  <si>
    <t>Nganjuk</t>
  </si>
  <si>
    <t xml:space="preserve">Total Jumlah Dus DEKASTAR Toko target </t>
  </si>
  <si>
    <t>Total Jumlah Dus pencapaian Toko target</t>
  </si>
  <si>
    <t xml:space="preserve">Total jumlah kekurangan Dus capai target </t>
  </si>
  <si>
    <t xml:space="preserve">PT. M A H A T M A  A G R O  -  N G A N J U K </t>
  </si>
  <si>
    <t>25 Kg</t>
  </si>
  <si>
    <t>Total jumlah KG pencapaian target Toko</t>
  </si>
  <si>
    <t>GANDASTAR</t>
  </si>
  <si>
    <t xml:space="preserve">K O T A </t>
  </si>
  <si>
    <t xml:space="preserve">Total Jumlah DUS GANDASIL Toko </t>
  </si>
  <si>
    <t xml:space="preserve">Total Jumlah KG pencapaian target </t>
  </si>
  <si>
    <t>DUS / TAHUN</t>
  </si>
  <si>
    <t>MIKROFID Zn 14</t>
  </si>
  <si>
    <t>100 gram</t>
  </si>
  <si>
    <t>Mikrofid Zn 14</t>
  </si>
  <si>
    <t xml:space="preserve">Total Jumlah DUS Mikrofid Zn 14 Toko yang ditarget </t>
  </si>
  <si>
    <t>LEBIH(DUS )</t>
  </si>
  <si>
    <t>CV.Tunasindo U</t>
  </si>
  <si>
    <t>GANDAPAN</t>
  </si>
  <si>
    <t>=</t>
  </si>
  <si>
    <t>MIKROFID Zn</t>
  </si>
  <si>
    <t xml:space="preserve">DEKAMON </t>
  </si>
  <si>
    <t>DEKAMON 1,2</t>
  </si>
  <si>
    <t>MASALGIN</t>
  </si>
  <si>
    <t>CAPAI (%)</t>
  </si>
  <si>
    <t xml:space="preserve">GANDASIL </t>
  </si>
  <si>
    <t>PT.Mahatma A</t>
  </si>
  <si>
    <t>PT. Karisma Indo</t>
  </si>
  <si>
    <t>Mahatma Agro</t>
  </si>
  <si>
    <t>Total Semua AREA</t>
  </si>
  <si>
    <t xml:space="preserve">PT. K A R I S M A  I N D O A G R O   -   J E M B E R </t>
  </si>
  <si>
    <t>Toko</t>
  </si>
  <si>
    <t>Jumlah Total Area 1</t>
  </si>
  <si>
    <t>Jumlah Total Area 2</t>
  </si>
  <si>
    <t>Jumlah Total Area 3</t>
  </si>
  <si>
    <t>Jumlah Total Area 4</t>
  </si>
  <si>
    <t>Jumlah Total Area 5</t>
  </si>
  <si>
    <t>100 gr+Te</t>
  </si>
  <si>
    <t>500 gr+Te</t>
  </si>
  <si>
    <t>100 Gr</t>
  </si>
  <si>
    <t xml:space="preserve">500 Gr </t>
  </si>
  <si>
    <t>Prodak</t>
  </si>
  <si>
    <t>DUS / TH</t>
  </si>
  <si>
    <t>PT.MAHATMA AGRO</t>
  </si>
  <si>
    <t>PT.Karisma Indo A</t>
  </si>
  <si>
    <t>PT.Sumber Makmur</t>
  </si>
  <si>
    <t>berlaku</t>
  </si>
  <si>
    <t>Bali</t>
  </si>
  <si>
    <t>TERCAPAI</t>
  </si>
  <si>
    <t>RATA-2 %</t>
  </si>
  <si>
    <t>PER WILAYAH</t>
  </si>
  <si>
    <t xml:space="preserve">D E K A M O N  22 , 43 L </t>
  </si>
  <si>
    <t>CV. A N U G E R A H  A G R O  M  -  B A N Y U W A N G I</t>
  </si>
  <si>
    <t xml:space="preserve">P T.  A N U G E R A H  A G R O  M  -  B A N Y U W A N G I </t>
  </si>
  <si>
    <t>S U M B E R  M A K M U R  A G R O I N D O  -  J O M B A N G</t>
  </si>
  <si>
    <t xml:space="preserve">Sumber Makmur </t>
  </si>
  <si>
    <t>PT.Anugerah AM</t>
  </si>
  <si>
    <t xml:space="preserve">PT. T A N I  S E J A T I  M A N D I R I  -  M A L A N G </t>
  </si>
  <si>
    <t xml:space="preserve">CV. S U B U R  M A K M U R  -  P O N O R O G O </t>
  </si>
  <si>
    <t>SUMBER MAKMUR AGROINDO - JOMBANG</t>
  </si>
  <si>
    <t xml:space="preserve">S U M B E R  M A K M U R  AGROINDO  -  J O M B A N G </t>
  </si>
  <si>
    <t xml:space="preserve">Total Jumlah DUS GANDAPAN Toko </t>
  </si>
  <si>
    <t>CV.Subur Makmur</t>
  </si>
  <si>
    <t>PT.Anugrah AM</t>
  </si>
  <si>
    <t>PT.Tani Sejati M</t>
  </si>
  <si>
    <t>P T . S U M B E  R  M A K M U R  A G R O I N D O  -  J O M B A N G</t>
  </si>
  <si>
    <t>CV.Anugerah Agro</t>
  </si>
  <si>
    <t>CV.SUBUR MAKMUR</t>
  </si>
  <si>
    <t>Subur Makmur</t>
  </si>
  <si>
    <t>CV. SUBUR MAKMUR</t>
  </si>
  <si>
    <t>Kg</t>
  </si>
  <si>
    <t>PT. ANUGERAH AGRO MANDIRI - BANYUWANGI</t>
  </si>
  <si>
    <t>Berlaku</t>
  </si>
  <si>
    <t>MITRA FLORA NUSANTARA - BATU</t>
  </si>
  <si>
    <t>PT.Anugerah Agro M</t>
  </si>
  <si>
    <t>Tria Garden</t>
  </si>
  <si>
    <t>Mitra Flora N</t>
  </si>
  <si>
    <t>BALI</t>
  </si>
  <si>
    <t>Karisma Indo A</t>
  </si>
  <si>
    <t xml:space="preserve">PT. S U M B E R   M A K M U R  AGROINDO  -  J O M B A N G  </t>
  </si>
  <si>
    <t>PT. TUNAS ABADI INDOAGRO -  BANYUWANGI</t>
  </si>
  <si>
    <t xml:space="preserve">PT. TUNAS ABADI INDOAGRO   -  B A N Y U W A N G I </t>
  </si>
  <si>
    <t>PT. TUNAS ABADI INDOAGRO - BANYUWANGI</t>
  </si>
  <si>
    <t>PT. T A N I  S E J A T I  M A N D I R I  -  M  A  L  A  N  G</t>
  </si>
  <si>
    <t>C V .  H A N I  -  M A D I U N</t>
  </si>
  <si>
    <t>MASTOFOL TRISTAR</t>
  </si>
  <si>
    <t>PT. SUMBER MAKMUR AGROINDO - JOMBANG</t>
  </si>
  <si>
    <t>DEKORGAN PLUS</t>
  </si>
  <si>
    <t>PT. KARISMA INDOAGRO UNIVERSAL - JEMBER</t>
  </si>
  <si>
    <t>DEKAPIRIM 400 SC</t>
  </si>
  <si>
    <t>D E K T I N  3 0  WG</t>
  </si>
  <si>
    <t xml:space="preserve">Total Jumlah DUS DEKTIN Toko </t>
  </si>
  <si>
    <t>1000 CC</t>
  </si>
  <si>
    <t>Total Jumlah LITER pencapaian Toko target</t>
  </si>
  <si>
    <t>Total jumlah DUS pencapaian target Toko</t>
  </si>
  <si>
    <t>OSMOCOTE</t>
  </si>
  <si>
    <t xml:space="preserve">PENJUALAN PRODAK YANG DIPROGAM BERDASARKAN PENCAPAIAN TOKO </t>
  </si>
  <si>
    <t>PT. KARISMA INDOAGRO - JEMBER</t>
  </si>
  <si>
    <t xml:space="preserve">PT. S U M B E R  M A K M U R  -  J O M B A N G </t>
  </si>
  <si>
    <t xml:space="preserve">P T .  T A N I  S E J A T I  M A N D I R I  -  M A L A N G </t>
  </si>
  <si>
    <t>PT. ANUGRAH AGRO M</t>
  </si>
  <si>
    <t>PT. TUNAS ABADI INDOAGRO</t>
  </si>
  <si>
    <t>PT.TANI SEJATI MANDIRI</t>
  </si>
  <si>
    <t>PT. SUMBER MAKMUR</t>
  </si>
  <si>
    <t>Mastofol Tristar</t>
  </si>
  <si>
    <t>MASTOFOL T</t>
  </si>
  <si>
    <t>Dekorgan Plus</t>
  </si>
  <si>
    <t>Dekapirim 400 SC</t>
  </si>
  <si>
    <t>Dektin 30 WG</t>
  </si>
  <si>
    <t>DEKTIN 30 WG</t>
  </si>
  <si>
    <t xml:space="preserve">Gadapan </t>
  </si>
  <si>
    <t xml:space="preserve">TIDAK DIPROGAM </t>
  </si>
  <si>
    <t>ANUGERAH AGRO M</t>
  </si>
  <si>
    <t>KARISMA INDOAGRO</t>
  </si>
  <si>
    <t>TUNAS ABADI INDOAGRO</t>
  </si>
  <si>
    <t>Anugerah Agro M</t>
  </si>
  <si>
    <t>Tunas Abadi Indo A</t>
  </si>
  <si>
    <t xml:space="preserve">O S M O C O T E </t>
  </si>
  <si>
    <t xml:space="preserve">CV. NUSA AGRO MAKMUR - ABEPURA </t>
  </si>
  <si>
    <t>CV. S A R A N A  C I P T A  A G R O  -  B A L I</t>
  </si>
  <si>
    <t>CV. TUNAS ABADI INDOAGRO - BANYUWANGI</t>
  </si>
  <si>
    <t>6-13-25</t>
  </si>
  <si>
    <t>Daun&amp;Rata</t>
  </si>
  <si>
    <t>CV. S U B U R  M A K M U R  - P O N O R O G O</t>
  </si>
  <si>
    <t xml:space="preserve">CV. S A R A N A  C I P T A  A G R O - B A L I </t>
  </si>
  <si>
    <t xml:space="preserve">CV. SARANA CIPTA AGRO </t>
  </si>
  <si>
    <t>CV. TANI SUBUR AGRO M - SUMBAWA</t>
  </si>
  <si>
    <t xml:space="preserve">PT. K A R I S M A  I N D O A G R O  -  J E M B E R </t>
  </si>
  <si>
    <t>V E L I M E K  52 , 5  WP</t>
  </si>
  <si>
    <t>PT. A N U G E R A H  A G R O  M A N D I R I  -  B A N Y U W A N G I</t>
  </si>
  <si>
    <t>PT.SENTRA NUSAGRO BHAKTI</t>
  </si>
  <si>
    <t>GANTI NAMA :</t>
  </si>
  <si>
    <t xml:space="preserve">S U R A B A Y A </t>
  </si>
  <si>
    <t xml:space="preserve">CV. H I K M A H  A G U N G - T U B A N </t>
  </si>
  <si>
    <t>PT. SENTRA AGRONUSA BHAKTI - SURABAYA</t>
  </si>
  <si>
    <t>PT. ANUGERAH TANI SEJATI - SURABAYA</t>
  </si>
  <si>
    <t xml:space="preserve">U D. A G R O  P R I M A  -  B A L I K P A P A N </t>
  </si>
  <si>
    <t>CV. NUSA AGRO MAKMUR - ABEPURA</t>
  </si>
  <si>
    <t xml:space="preserve">S U M B E R  T A N I  -  G R E S I K </t>
  </si>
  <si>
    <t>S U B U R  M A K M U R  -  N G A W I</t>
  </si>
  <si>
    <t xml:space="preserve">Total Jumlah DUS DEKORGANToko ditarget </t>
  </si>
  <si>
    <t xml:space="preserve">Total Jumlah DUS VELIMEK toko yang target </t>
  </si>
  <si>
    <t>Total Jumlah DUS MASALGIN Toko yang ditarget</t>
  </si>
  <si>
    <t>Total Jumlah LITER DEKAPIRIM 400 SC Toko yang ditarget</t>
  </si>
  <si>
    <t>PT.AKSESTANI AGRITECH INDONESIA - NGANJUK</t>
  </si>
  <si>
    <t xml:space="preserve">CV. S A R A N A  C I P T A  A G R O  -  B A L I </t>
  </si>
  <si>
    <t xml:space="preserve">Total Jumlah Dus DEKAMON 22,43 L  Toko target </t>
  </si>
  <si>
    <t>Velimek 52,5 WG</t>
  </si>
  <si>
    <t>TARGET TOTAL GANDASIL TAHUN 2025</t>
  </si>
  <si>
    <t>Tahun 2025</t>
  </si>
  <si>
    <t>JUMLAH PENJUALAN TAHUN 2025</t>
  </si>
  <si>
    <t xml:space="preserve">DATA REKAP PENJUALAN TIAP-2 PRODAK TARGET PER TOKO TAHUN 2025 </t>
  </si>
  <si>
    <t>D I M A C I D E  400 EC</t>
  </si>
  <si>
    <t>100 cc</t>
  </si>
  <si>
    <t xml:space="preserve">500 cc </t>
  </si>
  <si>
    <t>1000 cc</t>
  </si>
  <si>
    <t>PT. SUMBER MAKMUR AGRIKULTUR - MALANG</t>
  </si>
  <si>
    <t xml:space="preserve">Total Jumlah DUS DIMACIDE 400 EC Toko </t>
  </si>
  <si>
    <t>PT. SUMBER MAKMUR  A -  JOMBANG</t>
  </si>
  <si>
    <t>CV. SUBUR MAKMUR - PONOROGO</t>
  </si>
  <si>
    <t>D E K A B O N D</t>
  </si>
  <si>
    <t xml:space="preserve">PT. TANI SEJATI MANDIRI - MALANG </t>
  </si>
  <si>
    <t>LT</t>
  </si>
  <si>
    <t>TAHUN 2026</t>
  </si>
  <si>
    <t>PT. SUMBER MAKMUR - JOMBANG</t>
  </si>
  <si>
    <t>PT. TANI SEJATI MANDIRI  -  MALANG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</si>
</sst>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8" formatCode="_(&quot;Rp&quot;* #,##0_);_(&quot;Rp&quot;* \(#,##0\);_(&quot;Rp&quot;* &quot;-&quot;_);_(@_)"/>
    <numFmt numFmtId="169" formatCode="_(* #,##0_);_(* \(#,##0\);_(* &quot;-&quot;_);_(@_)"/>
    <numFmt numFmtId="176" formatCode="_(&quot;$&quot;* #,##0_);_(&quot;$&quot;* \(#,##0\);_(&quot;$&quot;* &quot;-&quot;_);_(@_)"/>
    <numFmt numFmtId="179" formatCode="0;[Red]0"/>
    <numFmt numFmtId="180" formatCode="0_);\(0\)"/>
    <numFmt numFmtId="183" formatCode="_(* #,##0.00_);_(* \(#,##0.00\);_(* &quot;-&quot;_);_(@_)"/>
    <numFmt numFmtId="184" formatCode="0.00_);\(0.00\)"/>
    <numFmt numFmtId="185" formatCode="0.00;[Red]0.00"/>
    <numFmt numFmtId="186" formatCode="dd/mm/yy"/>
    <numFmt numFmtId="191" formatCode="#,##0.0"/>
    <numFmt numFmtId="201" formatCode="dd/mm/yy;@"/>
    <numFmt numFmtId="204" formatCode="dd\-mm\-yy"/>
    <numFmt numFmtId="205" formatCode="dd\-mmm\-yyyy"/>
  </numFmts>
  <fonts count="42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0"/>
      <color indexed="53"/>
      <name val="Arial"/>
      <family val="2"/>
    </font>
    <font>
      <b/>
      <sz val="10"/>
      <color indexed="10"/>
      <name val="Arial"/>
      <family val="2"/>
    </font>
    <font>
      <b/>
      <sz val="10"/>
      <color indexed="57"/>
      <name val="Arial"/>
      <family val="2"/>
    </font>
    <font>
      <b/>
      <sz val="10"/>
      <color indexed="17"/>
      <name val="Arial"/>
      <family val="2"/>
    </font>
    <font>
      <b/>
      <i/>
      <sz val="11"/>
      <color indexed="12"/>
      <name val="Arial"/>
      <family val="2"/>
    </font>
    <font>
      <b/>
      <i/>
      <sz val="11"/>
      <color indexed="10"/>
      <name val="Arial"/>
      <family val="2"/>
    </font>
    <font>
      <b/>
      <i/>
      <sz val="11"/>
      <color indexed="20"/>
      <name val="Arial"/>
      <family val="2"/>
    </font>
    <font>
      <b/>
      <i/>
      <sz val="11"/>
      <color indexed="14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Arial"/>
      <family val="2"/>
    </font>
    <font>
      <sz val="11"/>
      <name val="Arial"/>
      <family val="2"/>
    </font>
    <font>
      <sz val="14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0"/>
      <color indexed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i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color rgb="FFFF000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0"/>
      <color theme="3"/>
      <name val="Arial"/>
      <family val="2"/>
    </font>
    <font>
      <sz val="10"/>
      <color theme="1"/>
      <name val="Arial"/>
      <family val="2"/>
    </font>
    <font>
      <b/>
      <sz val="12"/>
      <color rgb="FFFF0000"/>
      <name val="Arial"/>
      <family val="2"/>
    </font>
    <font>
      <b/>
      <i/>
      <sz val="11"/>
      <color rgb="FFFF0000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29F77C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3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9" fontId="1" fillId="0" borderId="0" applyFont="0" applyFill="0" applyBorder="0" applyAlignment="0" applyProtection="0"/>
    <xf numFmtId="176" fontId="1" fillId="0" borderId="0" applyFont="0" applyFill="0" applyBorder="0" applyAlignment="0" applyProtection="0"/>
  </cellStyleXfs>
  <cellXfs count="933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1" fontId="0" fillId="0" borderId="1" xfId="0" applyNumberFormat="1" applyBorder="1" applyAlignment="1">
      <alignment horizontal="right"/>
    </xf>
    <xf numFmtId="3" fontId="0" fillId="0" borderId="1" xfId="0" applyNumberFormat="1" applyBorder="1" applyAlignment="1">
      <alignment horizontal="right"/>
    </xf>
    <xf numFmtId="3" fontId="0" fillId="0" borderId="1" xfId="0" applyNumberFormat="1" applyBorder="1" applyAlignment="1">
      <alignment horizontal="right" vertical="center"/>
    </xf>
    <xf numFmtId="0" fontId="0" fillId="0" borderId="1" xfId="0" applyNumberFormat="1" applyBorder="1" applyAlignment="1">
      <alignment horizontal="center"/>
    </xf>
    <xf numFmtId="179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37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/>
    </xf>
    <xf numFmtId="0" fontId="4" fillId="0" borderId="1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1" fontId="0" fillId="0" borderId="0" xfId="0" applyNumberFormat="1" applyBorder="1" applyAlignment="1">
      <alignment horizontal="right"/>
    </xf>
    <xf numFmtId="3" fontId="0" fillId="0" borderId="0" xfId="0" applyNumberFormat="1" applyBorder="1" applyAlignment="1">
      <alignment horizontal="right"/>
    </xf>
    <xf numFmtId="3" fontId="0" fillId="0" borderId="0" xfId="0" applyNumberFormat="1" applyBorder="1" applyAlignment="1">
      <alignment horizontal="right" vertical="center"/>
    </xf>
    <xf numFmtId="3" fontId="0" fillId="0" borderId="0" xfId="0" applyNumberFormat="1" applyBorder="1" applyAlignment="1"/>
    <xf numFmtId="0" fontId="0" fillId="0" borderId="1" xfId="0" applyNumberFormat="1" applyBorder="1" applyAlignment="1">
      <alignment horizontal="right" vertical="center"/>
    </xf>
    <xf numFmtId="0" fontId="4" fillId="0" borderId="1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 vertical="center"/>
    </xf>
    <xf numFmtId="0" fontId="0" fillId="0" borderId="0" xfId="0" applyBorder="1"/>
    <xf numFmtId="1" fontId="0" fillId="0" borderId="2" xfId="0" applyNumberFormat="1" applyBorder="1" applyAlignment="1">
      <alignment horizontal="right"/>
    </xf>
    <xf numFmtId="3" fontId="0" fillId="0" borderId="2" xfId="0" applyNumberFormat="1" applyBorder="1" applyAlignment="1">
      <alignment horizontal="right"/>
    </xf>
    <xf numFmtId="0" fontId="0" fillId="0" borderId="2" xfId="0" applyBorder="1"/>
    <xf numFmtId="0" fontId="4" fillId="0" borderId="0" xfId="0" applyFont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2" fillId="0" borderId="0" xfId="0" applyFont="1"/>
    <xf numFmtId="0" fontId="4" fillId="0" borderId="1" xfId="0" applyFont="1" applyBorder="1" applyAlignment="1">
      <alignment horizontal="right"/>
    </xf>
    <xf numFmtId="0" fontId="4" fillId="0" borderId="0" xfId="0" applyFont="1"/>
    <xf numFmtId="3" fontId="2" fillId="0" borderId="0" xfId="0" applyNumberFormat="1" applyFont="1" applyBorder="1" applyAlignment="1">
      <alignment horizontal="right"/>
    </xf>
    <xf numFmtId="183" fontId="0" fillId="0" borderId="0" xfId="1" applyNumberFormat="1" applyFont="1" applyBorder="1" applyAlignment="1">
      <alignment horizontal="right"/>
    </xf>
    <xf numFmtId="183" fontId="0" fillId="0" borderId="0" xfId="1" applyNumberFormat="1" applyFont="1" applyBorder="1" applyAlignment="1">
      <alignment horizontal="right" vertical="center"/>
    </xf>
    <xf numFmtId="10" fontId="1" fillId="2" borderId="1" xfId="0" applyNumberFormat="1" applyFont="1" applyFill="1" applyBorder="1" applyAlignment="1">
      <alignment horizontal="center"/>
    </xf>
    <xf numFmtId="0" fontId="5" fillId="0" borderId="0" xfId="0" applyFont="1"/>
    <xf numFmtId="183" fontId="0" fillId="0" borderId="2" xfId="1" applyNumberFormat="1" applyFont="1" applyBorder="1" applyAlignment="1">
      <alignment horizontal="right"/>
    </xf>
    <xf numFmtId="183" fontId="0" fillId="0" borderId="2" xfId="1" applyNumberFormat="1" applyFont="1" applyBorder="1" applyAlignment="1">
      <alignment horizontal="right" vertical="center"/>
    </xf>
    <xf numFmtId="9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2" fontId="0" fillId="0" borderId="0" xfId="0" applyNumberFormat="1"/>
    <xf numFmtId="1" fontId="0" fillId="0" borderId="1" xfId="0" applyNumberFormat="1" applyBorder="1"/>
    <xf numFmtId="3" fontId="0" fillId="0" borderId="1" xfId="0" applyNumberFormat="1" applyBorder="1"/>
    <xf numFmtId="4" fontId="0" fillId="0" borderId="1" xfId="0" applyNumberFormat="1" applyBorder="1"/>
    <xf numFmtId="3" fontId="2" fillId="3" borderId="1" xfId="0" applyNumberFormat="1" applyFont="1" applyFill="1" applyBorder="1" applyAlignment="1">
      <alignment horizontal="right"/>
    </xf>
    <xf numFmtId="37" fontId="2" fillId="3" borderId="1" xfId="0" applyNumberFormat="1" applyFont="1" applyFill="1" applyBorder="1" applyAlignment="1">
      <alignment horizontal="right" vertical="center"/>
    </xf>
    <xf numFmtId="3" fontId="2" fillId="3" borderId="1" xfId="0" applyNumberFormat="1" applyFont="1" applyFill="1" applyBorder="1" applyAlignment="1"/>
    <xf numFmtId="2" fontId="2" fillId="4" borderId="1" xfId="0" applyNumberFormat="1" applyFont="1" applyFill="1" applyBorder="1" applyAlignment="1">
      <alignment horizontal="right"/>
    </xf>
    <xf numFmtId="3" fontId="2" fillId="3" borderId="1" xfId="1" applyNumberFormat="1" applyFont="1" applyFill="1" applyBorder="1" applyAlignment="1">
      <alignment horizontal="right"/>
    </xf>
    <xf numFmtId="184" fontId="2" fillId="4" borderId="1" xfId="0" applyNumberFormat="1" applyFont="1" applyFill="1" applyBorder="1" applyAlignment="1">
      <alignment horizontal="right" vertical="center"/>
    </xf>
    <xf numFmtId="2" fontId="2" fillId="0" borderId="0" xfId="0" applyNumberFormat="1" applyFont="1" applyBorder="1" applyAlignment="1">
      <alignment horizontal="right"/>
    </xf>
    <xf numFmtId="184" fontId="2" fillId="5" borderId="1" xfId="0" applyNumberFormat="1" applyFont="1" applyFill="1" applyBorder="1" applyAlignment="1">
      <alignment horizontal="right" vertical="center"/>
    </xf>
    <xf numFmtId="3" fontId="2" fillId="5" borderId="1" xfId="0" applyNumberFormat="1" applyFont="1" applyFill="1" applyBorder="1" applyAlignment="1">
      <alignment horizontal="center"/>
    </xf>
    <xf numFmtId="3" fontId="2" fillId="4" borderId="1" xfId="0" applyNumberFormat="1" applyFont="1" applyFill="1" applyBorder="1" applyAlignment="1">
      <alignment horizontal="center"/>
    </xf>
    <xf numFmtId="2" fontId="2" fillId="4" borderId="1" xfId="1" applyNumberFormat="1" applyFont="1" applyFill="1" applyBorder="1" applyAlignment="1">
      <alignment horizontal="right"/>
    </xf>
    <xf numFmtId="3" fontId="2" fillId="6" borderId="0" xfId="0" applyNumberFormat="1" applyFont="1" applyFill="1"/>
    <xf numFmtId="3" fontId="2" fillId="7" borderId="0" xfId="0" applyNumberFormat="1" applyFont="1" applyFill="1"/>
    <xf numFmtId="2" fontId="2" fillId="8" borderId="0" xfId="0" applyNumberFormat="1" applyFont="1" applyFill="1"/>
    <xf numFmtId="2" fontId="2" fillId="5" borderId="1" xfId="0" applyNumberFormat="1" applyFont="1" applyFill="1" applyBorder="1" applyAlignment="1"/>
    <xf numFmtId="180" fontId="2" fillId="3" borderId="1" xfId="0" applyNumberFormat="1" applyFont="1" applyFill="1" applyBorder="1" applyAlignment="1">
      <alignment horizontal="right" vertical="center"/>
    </xf>
    <xf numFmtId="2" fontId="2" fillId="4" borderId="1" xfId="0" applyNumberFormat="1" applyFont="1" applyFill="1" applyBorder="1" applyAlignment="1"/>
    <xf numFmtId="3" fontId="2" fillId="0" borderId="0" xfId="0" applyNumberFormat="1" applyFont="1"/>
    <xf numFmtId="2" fontId="2" fillId="0" borderId="0" xfId="0" applyNumberFormat="1" applyFont="1"/>
    <xf numFmtId="0" fontId="0" fillId="3" borderId="1" xfId="0" applyFill="1" applyBorder="1" applyAlignment="1">
      <alignment horizontal="center"/>
    </xf>
    <xf numFmtId="0" fontId="2" fillId="8" borderId="0" xfId="0" applyFont="1" applyFill="1" applyAlignment="1">
      <alignment horizontal="left"/>
    </xf>
    <xf numFmtId="3" fontId="2" fillId="7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0" fillId="0" borderId="0" xfId="0" applyFill="1"/>
    <xf numFmtId="0" fontId="0" fillId="4" borderId="0" xfId="0" applyFill="1"/>
    <xf numFmtId="0" fontId="2" fillId="0" borderId="0" xfId="0" applyFont="1" applyFill="1" applyAlignment="1">
      <alignment horizontal="left"/>
    </xf>
    <xf numFmtId="2" fontId="2" fillId="0" borderId="0" xfId="0" applyNumberFormat="1" applyFont="1" applyFill="1"/>
    <xf numFmtId="0" fontId="2" fillId="4" borderId="0" xfId="0" applyFont="1" applyFill="1"/>
    <xf numFmtId="3" fontId="2" fillId="4" borderId="0" xfId="0" applyNumberFormat="1" applyFont="1" applyFill="1"/>
    <xf numFmtId="3" fontId="2" fillId="9" borderId="0" xfId="0" applyNumberFormat="1" applyFont="1" applyFill="1"/>
    <xf numFmtId="1" fontId="2" fillId="9" borderId="0" xfId="0" applyNumberFormat="1" applyFont="1" applyFill="1"/>
    <xf numFmtId="3" fontId="2" fillId="10" borderId="1" xfId="0" applyNumberFormat="1" applyFont="1" applyFill="1" applyBorder="1" applyAlignment="1">
      <alignment horizontal="right"/>
    </xf>
    <xf numFmtId="0" fontId="0" fillId="10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right"/>
    </xf>
    <xf numFmtId="0" fontId="0" fillId="3" borderId="3" xfId="0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3" fontId="6" fillId="0" borderId="1" xfId="1" applyNumberFormat="1" applyFont="1" applyBorder="1" applyAlignment="1"/>
    <xf numFmtId="1" fontId="8" fillId="0" borderId="1" xfId="0" applyNumberFormat="1" applyFont="1" applyBorder="1" applyAlignment="1">
      <alignment horizontal="right"/>
    </xf>
    <xf numFmtId="0" fontId="2" fillId="6" borderId="1" xfId="0" applyFont="1" applyFill="1" applyBorder="1" applyAlignment="1">
      <alignment horizontal="center"/>
    </xf>
    <xf numFmtId="3" fontId="2" fillId="10" borderId="1" xfId="1" applyNumberFormat="1" applyFont="1" applyFill="1" applyBorder="1" applyAlignment="1"/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0" fontId="0" fillId="0" borderId="0" xfId="0" applyAlignment="1"/>
    <xf numFmtId="1" fontId="0" fillId="0" borderId="0" xfId="0" applyNumberFormat="1" applyAlignment="1"/>
    <xf numFmtId="0" fontId="14" fillId="0" borderId="0" xfId="0" applyFont="1"/>
    <xf numFmtId="0" fontId="14" fillId="0" borderId="0" xfId="0" applyFont="1" applyBorder="1"/>
    <xf numFmtId="0" fontId="14" fillId="0" borderId="0" xfId="0" applyFont="1" applyAlignment="1">
      <alignment horizontal="center"/>
    </xf>
    <xf numFmtId="3" fontId="2" fillId="0" borderId="0" xfId="0" applyNumberFormat="1" applyFont="1" applyFill="1" applyBorder="1" applyAlignment="1">
      <alignment horizontal="center"/>
    </xf>
    <xf numFmtId="2" fontId="2" fillId="0" borderId="0" xfId="0" applyNumberFormat="1" applyFont="1" applyFill="1" applyBorder="1" applyAlignment="1"/>
    <xf numFmtId="0" fontId="16" fillId="0" borderId="0" xfId="0" applyFont="1"/>
    <xf numFmtId="0" fontId="19" fillId="0" borderId="0" xfId="0" applyFont="1" applyAlignment="1">
      <alignment horizontal="left"/>
    </xf>
    <xf numFmtId="0" fontId="19" fillId="0" borderId="0" xfId="0" applyFont="1"/>
    <xf numFmtId="0" fontId="16" fillId="0" borderId="0" xfId="0" applyFont="1" applyBorder="1"/>
    <xf numFmtId="3" fontId="6" fillId="0" borderId="0" xfId="0" applyNumberFormat="1" applyFont="1" applyFill="1" applyBorder="1" applyAlignment="1">
      <alignment horizontal="center"/>
    </xf>
    <xf numFmtId="2" fontId="6" fillId="0" borderId="0" xfId="0" applyNumberFormat="1" applyFont="1" applyFill="1" applyBorder="1" applyAlignment="1"/>
    <xf numFmtId="2" fontId="6" fillId="0" borderId="0" xfId="0" applyNumberFormat="1" applyFont="1" applyFill="1" applyBorder="1" applyAlignment="1">
      <alignment horizontal="right" vertical="center"/>
    </xf>
    <xf numFmtId="184" fontId="2" fillId="0" borderId="0" xfId="0" applyNumberFormat="1" applyFont="1" applyFill="1" applyBorder="1" applyAlignment="1">
      <alignment horizontal="right" vertical="center"/>
    </xf>
    <xf numFmtId="0" fontId="4" fillId="0" borderId="1" xfId="0" applyNumberFormat="1" applyFont="1" applyFill="1" applyBorder="1" applyAlignment="1">
      <alignment horizontal="center"/>
    </xf>
    <xf numFmtId="180" fontId="2" fillId="0" borderId="0" xfId="0" applyNumberFormat="1" applyFont="1" applyFill="1" applyBorder="1" applyAlignment="1">
      <alignment horizontal="right" vertical="center"/>
    </xf>
    <xf numFmtId="1" fontId="0" fillId="0" borderId="1" xfId="0" applyNumberFormat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/>
    <xf numFmtId="3" fontId="4" fillId="0" borderId="1" xfId="0" applyNumberFormat="1" applyFont="1" applyBorder="1" applyAlignment="1">
      <alignment horizontal="right"/>
    </xf>
    <xf numFmtId="0" fontId="17" fillId="0" borderId="1" xfId="0" applyFont="1" applyBorder="1"/>
    <xf numFmtId="0" fontId="17" fillId="0" borderId="1" xfId="0" applyFont="1" applyBorder="1" applyAlignment="1">
      <alignment horizontal="center"/>
    </xf>
    <xf numFmtId="0" fontId="13" fillId="3" borderId="3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/>
    </xf>
    <xf numFmtId="0" fontId="20" fillId="7" borderId="1" xfId="0" applyFont="1" applyFill="1" applyBorder="1" applyAlignment="1">
      <alignment horizontal="center"/>
    </xf>
    <xf numFmtId="186" fontId="0" fillId="0" borderId="1" xfId="0" applyNumberFormat="1" applyBorder="1" applyAlignment="1">
      <alignment horizontal="center"/>
    </xf>
    <xf numFmtId="186" fontId="0" fillId="0" borderId="1" xfId="0" applyNumberFormat="1" applyBorder="1" applyAlignment="1">
      <alignment horizontal="center" vertical="center"/>
    </xf>
    <xf numFmtId="186" fontId="0" fillId="0" borderId="0" xfId="0" applyNumberFormat="1"/>
    <xf numFmtId="186" fontId="4" fillId="0" borderId="1" xfId="0" applyNumberFormat="1" applyFont="1" applyBorder="1" applyAlignment="1">
      <alignment horizontal="center" vertical="center"/>
    </xf>
    <xf numFmtId="186" fontId="0" fillId="0" borderId="0" xfId="0" applyNumberFormat="1" applyBorder="1" applyAlignment="1">
      <alignment horizontal="center"/>
    </xf>
    <xf numFmtId="186" fontId="0" fillId="0" borderId="1" xfId="0" applyNumberFormat="1" applyBorder="1"/>
    <xf numFmtId="186" fontId="2" fillId="0" borderId="0" xfId="0" applyNumberFormat="1" applyFont="1" applyFill="1" applyAlignment="1">
      <alignment horizontal="left"/>
    </xf>
    <xf numFmtId="186" fontId="2" fillId="8" borderId="0" xfId="0" applyNumberFormat="1" applyFont="1" applyFill="1" applyAlignment="1">
      <alignment horizontal="left"/>
    </xf>
    <xf numFmtId="186" fontId="0" fillId="0" borderId="2" xfId="0" applyNumberFormat="1" applyBorder="1"/>
    <xf numFmtId="186" fontId="0" fillId="0" borderId="0" xfId="0" applyNumberFormat="1" applyAlignment="1">
      <alignment horizontal="center"/>
    </xf>
    <xf numFmtId="186" fontId="0" fillId="0" borderId="0" xfId="0" applyNumberFormat="1" applyBorder="1"/>
    <xf numFmtId="186" fontId="0" fillId="0" borderId="0" xfId="0" applyNumberFormat="1" applyFill="1"/>
    <xf numFmtId="186" fontId="2" fillId="4" borderId="0" xfId="0" applyNumberFormat="1" applyFont="1" applyFill="1"/>
    <xf numFmtId="186" fontId="20" fillId="0" borderId="1" xfId="0" applyNumberFormat="1" applyFont="1" applyBorder="1" applyAlignment="1"/>
    <xf numFmtId="0" fontId="4" fillId="0" borderId="1" xfId="0" applyFont="1" applyFill="1" applyBorder="1" applyAlignment="1">
      <alignment horizontal="center"/>
    </xf>
    <xf numFmtId="3" fontId="4" fillId="0" borderId="1" xfId="0" applyNumberFormat="1" applyFont="1" applyFill="1" applyBorder="1"/>
    <xf numFmtId="3" fontId="4" fillId="0" borderId="1" xfId="0" applyNumberFormat="1" applyFont="1" applyFill="1" applyBorder="1" applyAlignment="1">
      <alignment horizontal="right"/>
    </xf>
    <xf numFmtId="2" fontId="4" fillId="0" borderId="1" xfId="0" applyNumberFormat="1" applyFont="1" applyFill="1" applyBorder="1"/>
    <xf numFmtId="3" fontId="4" fillId="0" borderId="1" xfId="0" applyNumberFormat="1" applyFont="1" applyFill="1" applyBorder="1" applyAlignment="1"/>
    <xf numFmtId="3" fontId="2" fillId="0" borderId="1" xfId="0" applyNumberFormat="1" applyFont="1" applyFill="1" applyBorder="1"/>
    <xf numFmtId="3" fontId="2" fillId="0" borderId="1" xfId="1" applyNumberFormat="1" applyFont="1" applyFill="1" applyBorder="1" applyAlignment="1"/>
    <xf numFmtId="3" fontId="4" fillId="0" borderId="1" xfId="1" applyNumberFormat="1" applyFont="1" applyFill="1" applyBorder="1" applyAlignment="1">
      <alignment horizontal="right"/>
    </xf>
    <xf numFmtId="1" fontId="4" fillId="0" borderId="1" xfId="0" applyNumberFormat="1" applyFont="1" applyBorder="1" applyAlignment="1">
      <alignment horizontal="right"/>
    </xf>
    <xf numFmtId="179" fontId="4" fillId="0" borderId="1" xfId="0" applyNumberFormat="1" applyFont="1" applyBorder="1" applyAlignment="1">
      <alignment horizontal="right"/>
    </xf>
    <xf numFmtId="0" fontId="2" fillId="17" borderId="4" xfId="0" applyFont="1" applyFill="1" applyBorder="1" applyAlignment="1">
      <alignment horizontal="center"/>
    </xf>
    <xf numFmtId="3" fontId="2" fillId="17" borderId="1" xfId="0" applyNumberFormat="1" applyFont="1" applyFill="1" applyBorder="1" applyAlignment="1">
      <alignment horizontal="center"/>
    </xf>
    <xf numFmtId="0" fontId="2" fillId="17" borderId="1" xfId="0" applyFont="1" applyFill="1" applyBorder="1" applyAlignment="1">
      <alignment horizontal="center"/>
    </xf>
    <xf numFmtId="3" fontId="3" fillId="7" borderId="1" xfId="0" applyNumberFormat="1" applyFont="1" applyFill="1" applyBorder="1" applyAlignment="1">
      <alignment horizontal="center"/>
    </xf>
    <xf numFmtId="0" fontId="4" fillId="0" borderId="1" xfId="0" applyFont="1" applyBorder="1"/>
    <xf numFmtId="0" fontId="4" fillId="0" borderId="5" xfId="0" applyFont="1" applyBorder="1"/>
    <xf numFmtId="0" fontId="4" fillId="0" borderId="0" xfId="0" applyFont="1" applyBorder="1"/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/>
    <xf numFmtId="0" fontId="2" fillId="0" borderId="0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13" fillId="0" borderId="5" xfId="0" applyFont="1" applyBorder="1"/>
    <xf numFmtId="0" fontId="13" fillId="0" borderId="0" xfId="0" applyFont="1" applyBorder="1"/>
    <xf numFmtId="0" fontId="13" fillId="0" borderId="3" xfId="0" applyFont="1" applyBorder="1"/>
    <xf numFmtId="0" fontId="13" fillId="0" borderId="0" xfId="0" applyFont="1"/>
    <xf numFmtId="0" fontId="20" fillId="0" borderId="4" xfId="0" applyFont="1" applyFill="1" applyBorder="1" applyAlignment="1">
      <alignment horizontal="center"/>
    </xf>
    <xf numFmtId="3" fontId="4" fillId="0" borderId="1" xfId="0" applyNumberFormat="1" applyFont="1" applyBorder="1"/>
    <xf numFmtId="3" fontId="2" fillId="0" borderId="0" xfId="0" applyNumberFormat="1" applyFont="1" applyBorder="1"/>
    <xf numFmtId="1" fontId="4" fillId="0" borderId="1" xfId="0" applyNumberFormat="1" applyFont="1" applyFill="1" applyBorder="1"/>
    <xf numFmtId="1" fontId="4" fillId="0" borderId="1" xfId="0" applyNumberFormat="1" applyFont="1" applyBorder="1"/>
    <xf numFmtId="2" fontId="4" fillId="0" borderId="1" xfId="0" applyNumberFormat="1" applyFont="1" applyBorder="1" applyAlignment="1">
      <alignment horizontal="right"/>
    </xf>
    <xf numFmtId="1" fontId="2" fillId="0" borderId="0" xfId="0" applyNumberFormat="1" applyFont="1" applyBorder="1"/>
    <xf numFmtId="4" fontId="4" fillId="0" borderId="1" xfId="0" applyNumberFormat="1" applyFont="1" applyBorder="1"/>
    <xf numFmtId="0" fontId="4" fillId="0" borderId="1" xfId="0" applyNumberFormat="1" applyFont="1" applyBorder="1"/>
    <xf numFmtId="2" fontId="4" fillId="0" borderId="1" xfId="0" applyNumberFormat="1" applyFont="1" applyBorder="1"/>
    <xf numFmtId="0" fontId="13" fillId="0" borderId="1" xfId="0" applyFont="1" applyFill="1" applyBorder="1" applyAlignment="1">
      <alignment horizontal="center"/>
    </xf>
    <xf numFmtId="0" fontId="20" fillId="0" borderId="1" xfId="0" applyFont="1" applyBorder="1"/>
    <xf numFmtId="0" fontId="20" fillId="0" borderId="4" xfId="0" applyFont="1" applyBorder="1"/>
    <xf numFmtId="0" fontId="13" fillId="0" borderId="4" xfId="0" applyFont="1" applyFill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0" xfId="0" applyFont="1"/>
    <xf numFmtId="0" fontId="13" fillId="11" borderId="1" xfId="0" applyFont="1" applyFill="1" applyBorder="1" applyAlignment="1">
      <alignment horizontal="center"/>
    </xf>
    <xf numFmtId="0" fontId="13" fillId="12" borderId="1" xfId="0" applyFont="1" applyFill="1" applyBorder="1" applyAlignment="1">
      <alignment horizontal="center"/>
    </xf>
    <xf numFmtId="0" fontId="13" fillId="12" borderId="1" xfId="0" applyFont="1" applyFill="1" applyBorder="1"/>
    <xf numFmtId="0" fontId="20" fillId="12" borderId="1" xfId="0" applyFont="1" applyFill="1" applyBorder="1" applyAlignment="1">
      <alignment horizontal="center"/>
    </xf>
    <xf numFmtId="0" fontId="13" fillId="13" borderId="1" xfId="0" applyFont="1" applyFill="1" applyBorder="1" applyAlignment="1">
      <alignment horizontal="center"/>
    </xf>
    <xf numFmtId="0" fontId="13" fillId="13" borderId="1" xfId="0" applyFont="1" applyFill="1" applyBorder="1"/>
    <xf numFmtId="0" fontId="13" fillId="14" borderId="1" xfId="0" applyFont="1" applyFill="1" applyBorder="1" applyAlignment="1">
      <alignment horizontal="center"/>
    </xf>
    <xf numFmtId="0" fontId="20" fillId="13" borderId="1" xfId="0" applyFont="1" applyFill="1" applyBorder="1" applyAlignment="1">
      <alignment horizontal="center"/>
    </xf>
    <xf numFmtId="0" fontId="20" fillId="0" borderId="0" xfId="0" applyFont="1"/>
    <xf numFmtId="0" fontId="20" fillId="14" borderId="1" xfId="0" applyFont="1" applyFill="1" applyBorder="1" applyAlignment="1">
      <alignment horizontal="center"/>
    </xf>
    <xf numFmtId="0" fontId="20" fillId="8" borderId="1" xfId="0" applyFont="1" applyFill="1" applyBorder="1" applyAlignment="1">
      <alignment horizontal="center"/>
    </xf>
    <xf numFmtId="0" fontId="20" fillId="8" borderId="1" xfId="0" applyFont="1" applyFill="1" applyBorder="1"/>
    <xf numFmtId="0" fontId="13" fillId="11" borderId="1" xfId="0" applyFont="1" applyFill="1" applyBorder="1"/>
    <xf numFmtId="3" fontId="13" fillId="11" borderId="1" xfId="0" applyNumberFormat="1" applyFont="1" applyFill="1" applyBorder="1"/>
    <xf numFmtId="2" fontId="13" fillId="11" borderId="1" xfId="0" applyNumberFormat="1" applyFont="1" applyFill="1" applyBorder="1"/>
    <xf numFmtId="1" fontId="13" fillId="11" borderId="1" xfId="0" applyNumberFormat="1" applyFont="1" applyFill="1" applyBorder="1"/>
    <xf numFmtId="2" fontId="20" fillId="11" borderId="1" xfId="0" applyNumberFormat="1" applyFont="1" applyFill="1" applyBorder="1" applyAlignment="1">
      <alignment horizontal="center"/>
    </xf>
    <xf numFmtId="2" fontId="13" fillId="0" borderId="0" xfId="0" applyNumberFormat="1" applyFont="1" applyBorder="1"/>
    <xf numFmtId="2" fontId="13" fillId="18" borderId="1" xfId="0" applyNumberFormat="1" applyFont="1" applyFill="1" applyBorder="1"/>
    <xf numFmtId="3" fontId="13" fillId="12" borderId="1" xfId="0" applyNumberFormat="1" applyFont="1" applyFill="1" applyBorder="1"/>
    <xf numFmtId="2" fontId="20" fillId="12" borderId="1" xfId="0" applyNumberFormat="1" applyFont="1" applyFill="1" applyBorder="1" applyAlignment="1">
      <alignment horizontal="center"/>
    </xf>
    <xf numFmtId="3" fontId="20" fillId="12" borderId="1" xfId="0" applyNumberFormat="1" applyFont="1" applyFill="1" applyBorder="1"/>
    <xf numFmtId="0" fontId="20" fillId="12" borderId="1" xfId="0" applyFont="1" applyFill="1" applyBorder="1"/>
    <xf numFmtId="3" fontId="13" fillId="13" borderId="1" xfId="0" applyNumberFormat="1" applyFont="1" applyFill="1" applyBorder="1"/>
    <xf numFmtId="2" fontId="13" fillId="13" borderId="1" xfId="0" applyNumberFormat="1" applyFont="1" applyFill="1" applyBorder="1"/>
    <xf numFmtId="2" fontId="20" fillId="13" borderId="1" xfId="0" applyNumberFormat="1" applyFont="1" applyFill="1" applyBorder="1" applyAlignment="1">
      <alignment horizontal="center"/>
    </xf>
    <xf numFmtId="0" fontId="20" fillId="14" borderId="1" xfId="0" applyFont="1" applyFill="1" applyBorder="1"/>
    <xf numFmtId="3" fontId="13" fillId="14" borderId="1" xfId="0" applyNumberFormat="1" applyFont="1" applyFill="1" applyBorder="1"/>
    <xf numFmtId="2" fontId="13" fillId="14" borderId="1" xfId="0" applyNumberFormat="1" applyFont="1" applyFill="1" applyBorder="1"/>
    <xf numFmtId="0" fontId="13" fillId="14" borderId="1" xfId="0" applyFont="1" applyFill="1" applyBorder="1"/>
    <xf numFmtId="2" fontId="20" fillId="14" borderId="1" xfId="0" applyNumberFormat="1" applyFont="1" applyFill="1" applyBorder="1" applyAlignment="1">
      <alignment horizontal="center"/>
    </xf>
    <xf numFmtId="0" fontId="13" fillId="19" borderId="1" xfId="0" applyFont="1" applyFill="1" applyBorder="1" applyAlignment="1">
      <alignment horizontal="center"/>
    </xf>
    <xf numFmtId="0" fontId="20" fillId="19" borderId="1" xfId="0" applyFont="1" applyFill="1" applyBorder="1" applyAlignment="1">
      <alignment horizontal="center"/>
    </xf>
    <xf numFmtId="0" fontId="13" fillId="19" borderId="1" xfId="0" applyFont="1" applyFill="1" applyBorder="1"/>
    <xf numFmtId="3" fontId="13" fillId="19" borderId="1" xfId="0" applyNumberFormat="1" applyFont="1" applyFill="1" applyBorder="1"/>
    <xf numFmtId="2" fontId="20" fillId="19" borderId="1" xfId="0" applyNumberFormat="1" applyFont="1" applyFill="1" applyBorder="1" applyAlignment="1">
      <alignment horizontal="center"/>
    </xf>
    <xf numFmtId="3" fontId="0" fillId="0" borderId="1" xfId="0" applyNumberFormat="1" applyBorder="1" applyAlignment="1"/>
    <xf numFmtId="3" fontId="2" fillId="20" borderId="1" xfId="0" applyNumberFormat="1" applyFont="1" applyFill="1" applyBorder="1" applyAlignment="1">
      <alignment horizontal="right"/>
    </xf>
    <xf numFmtId="0" fontId="0" fillId="20" borderId="1" xfId="0" applyFill="1" applyBorder="1" applyAlignment="1">
      <alignment horizontal="center"/>
    </xf>
    <xf numFmtId="0" fontId="2" fillId="20" borderId="1" xfId="0" applyFont="1" applyFill="1" applyBorder="1" applyAlignment="1">
      <alignment horizontal="center"/>
    </xf>
    <xf numFmtId="4" fontId="2" fillId="20" borderId="1" xfId="0" applyNumberFormat="1" applyFont="1" applyFill="1" applyBorder="1" applyAlignment="1">
      <alignment horizontal="right"/>
    </xf>
    <xf numFmtId="3" fontId="2" fillId="20" borderId="6" xfId="1" applyNumberFormat="1" applyFont="1" applyFill="1" applyBorder="1" applyAlignment="1"/>
    <xf numFmtId="3" fontId="2" fillId="20" borderId="1" xfId="1" applyNumberFormat="1" applyFont="1" applyFill="1" applyBorder="1" applyAlignment="1">
      <alignment vertical="center"/>
    </xf>
    <xf numFmtId="3" fontId="2" fillId="20" borderId="1" xfId="1" applyNumberFormat="1" applyFont="1" applyFill="1" applyBorder="1" applyAlignment="1"/>
    <xf numFmtId="3" fontId="2" fillId="20" borderId="6" xfId="1" applyNumberFormat="1" applyFont="1" applyFill="1" applyBorder="1" applyAlignment="1">
      <alignment horizontal="right"/>
    </xf>
    <xf numFmtId="9" fontId="0" fillId="21" borderId="1" xfId="0" applyNumberFormat="1" applyFill="1" applyBorder="1" applyAlignment="1">
      <alignment horizontal="center"/>
    </xf>
    <xf numFmtId="0" fontId="2" fillId="22" borderId="1" xfId="0" applyFont="1" applyFill="1" applyBorder="1" applyAlignment="1">
      <alignment horizontal="center"/>
    </xf>
    <xf numFmtId="3" fontId="2" fillId="22" borderId="1" xfId="0" applyNumberFormat="1" applyFont="1" applyFill="1" applyBorder="1"/>
    <xf numFmtId="3" fontId="2" fillId="22" borderId="1" xfId="1" applyNumberFormat="1" applyFont="1" applyFill="1" applyBorder="1"/>
    <xf numFmtId="3" fontId="2" fillId="22" borderId="1" xfId="0" applyNumberFormat="1" applyFont="1" applyFill="1" applyBorder="1" applyAlignment="1">
      <alignment horizontal="right"/>
    </xf>
    <xf numFmtId="0" fontId="2" fillId="21" borderId="1" xfId="0" applyFont="1" applyFill="1" applyBorder="1" applyAlignment="1">
      <alignment horizontal="center"/>
    </xf>
    <xf numFmtId="4" fontId="2" fillId="22" borderId="1" xfId="0" applyNumberFormat="1" applyFont="1" applyFill="1" applyBorder="1"/>
    <xf numFmtId="0" fontId="20" fillId="21" borderId="1" xfId="0" applyFont="1" applyFill="1" applyBorder="1" applyAlignment="1">
      <alignment horizontal="center" vertical="center"/>
    </xf>
    <xf numFmtId="0" fontId="20" fillId="21" borderId="1" xfId="0" applyFont="1" applyFill="1" applyBorder="1" applyAlignment="1">
      <alignment horizontal="center"/>
    </xf>
    <xf numFmtId="0" fontId="21" fillId="21" borderId="1" xfId="0" applyFont="1" applyFill="1" applyBorder="1"/>
    <xf numFmtId="0" fontId="21" fillId="21" borderId="1" xfId="0" applyFont="1" applyFill="1" applyBorder="1" applyAlignment="1">
      <alignment horizontal="center"/>
    </xf>
    <xf numFmtId="2" fontId="4" fillId="0" borderId="0" xfId="0" applyNumberFormat="1" applyFont="1" applyBorder="1"/>
    <xf numFmtId="3" fontId="6" fillId="0" borderId="1" xfId="1" applyNumberFormat="1" applyFont="1" applyBorder="1" applyAlignment="1">
      <alignment horizontal="right"/>
    </xf>
    <xf numFmtId="3" fontId="8" fillId="0" borderId="1" xfId="1" applyNumberFormat="1" applyFont="1" applyBorder="1" applyAlignment="1">
      <alignment horizontal="right"/>
    </xf>
    <xf numFmtId="168" fontId="2" fillId="0" borderId="0" xfId="0" applyNumberFormat="1" applyFont="1" applyFill="1" applyAlignment="1">
      <alignment horizontal="center"/>
    </xf>
    <xf numFmtId="0" fontId="20" fillId="8" borderId="1" xfId="0" applyFont="1" applyFill="1" applyBorder="1" applyAlignment="1">
      <alignment horizontal="center" vertical="center"/>
    </xf>
    <xf numFmtId="2" fontId="2" fillId="22" borderId="1" xfId="0" applyNumberFormat="1" applyFont="1" applyFill="1" applyBorder="1" applyAlignment="1">
      <alignment horizontal="right"/>
    </xf>
    <xf numFmtId="184" fontId="2" fillId="4" borderId="1" xfId="1" applyNumberFormat="1" applyFont="1" applyFill="1" applyBorder="1" applyAlignment="1">
      <alignment horizontal="right" vertical="center"/>
    </xf>
    <xf numFmtId="2" fontId="14" fillId="0" borderId="0" xfId="0" applyNumberFormat="1" applyFont="1"/>
    <xf numFmtId="3" fontId="2" fillId="23" borderId="1" xfId="0" applyNumberFormat="1" applyFont="1" applyFill="1" applyBorder="1"/>
    <xf numFmtId="3" fontId="2" fillId="4" borderId="1" xfId="1" applyNumberFormat="1" applyFont="1" applyFill="1" applyBorder="1" applyAlignment="1">
      <alignment horizontal="right"/>
    </xf>
    <xf numFmtId="3" fontId="2" fillId="4" borderId="1" xfId="0" applyNumberFormat="1" applyFont="1" applyFill="1" applyBorder="1"/>
    <xf numFmtId="3" fontId="4" fillId="23" borderId="1" xfId="0" applyNumberFormat="1" applyFont="1" applyFill="1" applyBorder="1"/>
    <xf numFmtId="37" fontId="2" fillId="5" borderId="1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left"/>
    </xf>
    <xf numFmtId="0" fontId="4" fillId="24" borderId="1" xfId="0" applyFont="1" applyFill="1" applyBorder="1" applyAlignment="1">
      <alignment horizontal="center"/>
    </xf>
    <xf numFmtId="37" fontId="2" fillId="3" borderId="1" xfId="1" applyNumberFormat="1" applyFont="1" applyFill="1" applyBorder="1" applyAlignment="1">
      <alignment horizontal="right" vertical="center"/>
    </xf>
    <xf numFmtId="3" fontId="0" fillId="25" borderId="1" xfId="0" applyNumberFormat="1" applyFill="1" applyBorder="1" applyAlignment="1">
      <alignment horizontal="right"/>
    </xf>
    <xf numFmtId="1" fontId="4" fillId="0" borderId="1" xfId="0" applyNumberFormat="1" applyFont="1" applyFill="1" applyBorder="1" applyAlignment="1"/>
    <xf numFmtId="3" fontId="4" fillId="26" borderId="1" xfId="0" applyNumberFormat="1" applyFont="1" applyFill="1" applyBorder="1"/>
    <xf numFmtId="0" fontId="13" fillId="0" borderId="1" xfId="0" applyFont="1" applyFill="1" applyBorder="1"/>
    <xf numFmtId="3" fontId="13" fillId="0" borderId="1" xfId="0" applyNumberFormat="1" applyFont="1" applyFill="1" applyBorder="1"/>
    <xf numFmtId="4" fontId="13" fillId="0" borderId="1" xfId="0" applyNumberFormat="1" applyFont="1" applyFill="1" applyBorder="1"/>
    <xf numFmtId="9" fontId="0" fillId="0" borderId="1" xfId="0" applyNumberFormat="1" applyFill="1" applyBorder="1" applyAlignment="1">
      <alignment horizontal="center"/>
    </xf>
    <xf numFmtId="9" fontId="0" fillId="0" borderId="1" xfId="0" applyNumberFormat="1" applyFill="1" applyBorder="1" applyAlignment="1">
      <alignment horizontal="center" vertical="center"/>
    </xf>
    <xf numFmtId="186" fontId="0" fillId="0" borderId="1" xfId="0" applyNumberFormat="1" applyFill="1" applyBorder="1" applyAlignment="1">
      <alignment horizontal="center" vertical="center"/>
    </xf>
    <xf numFmtId="2" fontId="2" fillId="22" borderId="1" xfId="0" applyNumberFormat="1" applyFont="1" applyFill="1" applyBorder="1"/>
    <xf numFmtId="184" fontId="2" fillId="0" borderId="0" xfId="0" applyNumberFormat="1" applyFont="1"/>
    <xf numFmtId="3" fontId="2" fillId="5" borderId="0" xfId="0" applyNumberFormat="1" applyFont="1" applyFill="1" applyAlignment="1">
      <alignment horizontal="right"/>
    </xf>
    <xf numFmtId="0" fontId="20" fillId="27" borderId="1" xfId="0" applyFont="1" applyFill="1" applyBorder="1" applyAlignment="1">
      <alignment horizontal="center"/>
    </xf>
    <xf numFmtId="0" fontId="21" fillId="27" borderId="1" xfId="0" applyFont="1" applyFill="1" applyBorder="1"/>
    <xf numFmtId="0" fontId="21" fillId="27" borderId="1" xfId="0" applyFont="1" applyFill="1" applyBorder="1" applyAlignment="1">
      <alignment horizontal="center"/>
    </xf>
    <xf numFmtId="0" fontId="20" fillId="28" borderId="1" xfId="0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/>
    </xf>
    <xf numFmtId="0" fontId="20" fillId="28" borderId="1" xfId="0" applyFont="1" applyFill="1" applyBorder="1"/>
    <xf numFmtId="0" fontId="21" fillId="28" borderId="1" xfId="0" applyFont="1" applyFill="1" applyBorder="1" applyAlignment="1">
      <alignment horizontal="center"/>
    </xf>
    <xf numFmtId="0" fontId="2" fillId="28" borderId="1" xfId="0" applyFont="1" applyFill="1" applyBorder="1" applyAlignment="1">
      <alignment horizontal="center"/>
    </xf>
    <xf numFmtId="0" fontId="3" fillId="0" borderId="0" xfId="0" applyFont="1" applyAlignment="1"/>
    <xf numFmtId="0" fontId="13" fillId="0" borderId="0" xfId="0" applyFont="1" applyBorder="1" applyAlignment="1"/>
    <xf numFmtId="1" fontId="23" fillId="0" borderId="1" xfId="0" applyNumberFormat="1" applyFont="1" applyBorder="1" applyAlignment="1">
      <alignment horizontal="right"/>
    </xf>
    <xf numFmtId="3" fontId="23" fillId="0" borderId="1" xfId="0" applyNumberFormat="1" applyFont="1" applyBorder="1" applyAlignment="1">
      <alignment horizontal="right"/>
    </xf>
    <xf numFmtId="2" fontId="2" fillId="16" borderId="1" xfId="0" applyNumberFormat="1" applyFont="1" applyFill="1" applyBorder="1"/>
    <xf numFmtId="2" fontId="2" fillId="0" borderId="1" xfId="0" applyNumberFormat="1" applyFont="1" applyFill="1" applyBorder="1"/>
    <xf numFmtId="0" fontId="4" fillId="29" borderId="1" xfId="0" applyFont="1" applyFill="1" applyBorder="1" applyAlignment="1">
      <alignment horizontal="center"/>
    </xf>
    <xf numFmtId="3" fontId="4" fillId="29" borderId="1" xfId="0" applyNumberFormat="1" applyFont="1" applyFill="1" applyBorder="1"/>
    <xf numFmtId="3" fontId="4" fillId="29" borderId="1" xfId="0" applyNumberFormat="1" applyFont="1" applyFill="1" applyBorder="1" applyAlignment="1"/>
    <xf numFmtId="3" fontId="2" fillId="30" borderId="1" xfId="1" applyNumberFormat="1" applyFont="1" applyFill="1" applyBorder="1" applyAlignment="1"/>
    <xf numFmtId="1" fontId="2" fillId="0" borderId="1" xfId="0" applyNumberFormat="1" applyFont="1" applyBorder="1" applyAlignment="1">
      <alignment horizontal="right"/>
    </xf>
    <xf numFmtId="0" fontId="13" fillId="0" borderId="0" xfId="0" applyFont="1" applyFill="1"/>
    <xf numFmtId="0" fontId="2" fillId="0" borderId="0" xfId="0" applyFont="1" applyFill="1"/>
    <xf numFmtId="0" fontId="0" fillId="0" borderId="1" xfId="0" applyFill="1" applyBorder="1" applyAlignment="1">
      <alignment horizontal="right"/>
    </xf>
    <xf numFmtId="3" fontId="0" fillId="0" borderId="1" xfId="0" applyNumberFormat="1" applyFill="1" applyBorder="1" applyAlignment="1">
      <alignment horizontal="right"/>
    </xf>
    <xf numFmtId="0" fontId="13" fillId="0" borderId="0" xfId="0" applyFont="1" applyFill="1" applyBorder="1" applyAlignment="1"/>
    <xf numFmtId="0" fontId="4" fillId="24" borderId="1" xfId="0" applyFont="1" applyFill="1" applyBorder="1" applyAlignment="1">
      <alignment horizontal="center"/>
    </xf>
    <xf numFmtId="180" fontId="0" fillId="31" borderId="1" xfId="0" applyNumberFormat="1" applyFill="1" applyBorder="1" applyAlignment="1">
      <alignment horizontal="right" vertical="center"/>
    </xf>
    <xf numFmtId="0" fontId="2" fillId="7" borderId="0" xfId="0" applyFont="1" applyFill="1" applyAlignment="1">
      <alignment horizontal="left"/>
    </xf>
    <xf numFmtId="3" fontId="2" fillId="6" borderId="0" xfId="0" applyNumberFormat="1" applyFont="1" applyFill="1" applyAlignment="1"/>
    <xf numFmtId="3" fontId="2" fillId="0" borderId="0" xfId="0" applyNumberFormat="1" applyFont="1" applyFill="1" applyAlignment="1"/>
    <xf numFmtId="0" fontId="35" fillId="0" borderId="0" xfId="0" applyFont="1" applyFill="1"/>
    <xf numFmtId="3" fontId="4" fillId="0" borderId="1" xfId="1" applyNumberFormat="1" applyFont="1" applyFill="1" applyBorder="1" applyAlignment="1"/>
    <xf numFmtId="0" fontId="14" fillId="0" borderId="0" xfId="0" applyFont="1" applyFill="1"/>
    <xf numFmtId="0" fontId="16" fillId="0" borderId="0" xfId="0" applyFont="1" applyFill="1"/>
    <xf numFmtId="0" fontId="3" fillId="0" borderId="1" xfId="0" applyFont="1" applyBorder="1" applyAlignment="1">
      <alignment horizontal="center"/>
    </xf>
    <xf numFmtId="0" fontId="20" fillId="21" borderId="1" xfId="0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8" fillId="0" borderId="1" xfId="0" applyFont="1" applyBorder="1"/>
    <xf numFmtId="2" fontId="18" fillId="0" borderId="1" xfId="0" applyNumberFormat="1" applyFont="1" applyBorder="1"/>
    <xf numFmtId="0" fontId="4" fillId="0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13" fillId="0" borderId="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0" xfId="0" applyFont="1" applyAlignment="1">
      <alignment horizontal="left"/>
    </xf>
    <xf numFmtId="169" fontId="4" fillId="0" borderId="1" xfId="0" applyNumberFormat="1" applyFont="1" applyBorder="1"/>
    <xf numFmtId="3" fontId="18" fillId="0" borderId="1" xfId="0" applyNumberFormat="1" applyFont="1" applyBorder="1" applyAlignment="1">
      <alignment horizontal="right"/>
    </xf>
    <xf numFmtId="0" fontId="20" fillId="32" borderId="1" xfId="0" applyFont="1" applyFill="1" applyBorder="1" applyAlignment="1">
      <alignment horizontal="center" vertical="center"/>
    </xf>
    <xf numFmtId="0" fontId="13" fillId="32" borderId="1" xfId="0" applyFont="1" applyFill="1" applyBorder="1"/>
    <xf numFmtId="2" fontId="13" fillId="32" borderId="1" xfId="0" applyNumberFormat="1" applyFont="1" applyFill="1" applyBorder="1"/>
    <xf numFmtId="0" fontId="13" fillId="32" borderId="1" xfId="0" applyFont="1" applyFill="1" applyBorder="1" applyAlignment="1">
      <alignment horizontal="center"/>
    </xf>
    <xf numFmtId="0" fontId="20" fillId="32" borderId="1" xfId="0" applyFont="1" applyFill="1" applyBorder="1" applyAlignment="1">
      <alignment horizontal="center"/>
    </xf>
    <xf numFmtId="2" fontId="20" fillId="32" borderId="1" xfId="0" applyNumberFormat="1" applyFont="1" applyFill="1" applyBorder="1" applyAlignment="1">
      <alignment horizontal="center"/>
    </xf>
    <xf numFmtId="3" fontId="13" fillId="32" borderId="1" xfId="0" applyNumberFormat="1" applyFont="1" applyFill="1" applyBorder="1" applyAlignment="1"/>
    <xf numFmtId="0" fontId="13" fillId="32" borderId="1" xfId="0" applyFont="1" applyFill="1" applyBorder="1" applyAlignment="1">
      <alignment horizontal="left"/>
    </xf>
    <xf numFmtId="0" fontId="20" fillId="32" borderId="1" xfId="0" applyFont="1" applyFill="1" applyBorder="1"/>
    <xf numFmtId="0" fontId="13" fillId="32" borderId="1" xfId="0" applyFont="1" applyFill="1" applyBorder="1" applyAlignment="1"/>
    <xf numFmtId="3" fontId="3" fillId="0" borderId="0" xfId="0" applyNumberFormat="1" applyFont="1" applyFill="1" applyBorder="1"/>
    <xf numFmtId="0" fontId="3" fillId="0" borderId="0" xfId="2" applyNumberFormat="1" applyFont="1" applyBorder="1" applyAlignment="1">
      <alignment horizontal="left"/>
    </xf>
    <xf numFmtId="0" fontId="3" fillId="0" borderId="0" xfId="2" applyNumberFormat="1" applyFont="1" applyFill="1" applyBorder="1" applyAlignment="1">
      <alignment horizontal="left"/>
    </xf>
    <xf numFmtId="0" fontId="13" fillId="0" borderId="0" xfId="0" applyFont="1" applyFill="1" applyBorder="1"/>
    <xf numFmtId="0" fontId="20" fillId="33" borderId="1" xfId="0" applyFont="1" applyFill="1" applyBorder="1" applyAlignment="1">
      <alignment horizontal="center"/>
    </xf>
    <xf numFmtId="176" fontId="3" fillId="33" borderId="1" xfId="2" applyFont="1" applyFill="1" applyBorder="1" applyAlignment="1">
      <alignment horizontal="center"/>
    </xf>
    <xf numFmtId="3" fontId="3" fillId="33" borderId="1" xfId="0" applyNumberFormat="1" applyFont="1" applyFill="1" applyBorder="1" applyAlignment="1">
      <alignment horizontal="center"/>
    </xf>
    <xf numFmtId="0" fontId="3" fillId="0" borderId="1" xfId="2" applyNumberFormat="1" applyFont="1" applyBorder="1" applyAlignment="1">
      <alignment horizontal="left"/>
    </xf>
    <xf numFmtId="3" fontId="3" fillId="0" borderId="1" xfId="0" applyNumberFormat="1" applyFont="1" applyFill="1" applyBorder="1"/>
    <xf numFmtId="3" fontId="3" fillId="33" borderId="1" xfId="0" applyNumberFormat="1" applyFont="1" applyFill="1" applyBorder="1"/>
    <xf numFmtId="0" fontId="13" fillId="33" borderId="1" xfId="0" applyFont="1" applyFill="1" applyBorder="1" applyAlignment="1">
      <alignment horizontal="center"/>
    </xf>
    <xf numFmtId="0" fontId="3" fillId="33" borderId="1" xfId="0" applyFont="1" applyFill="1" applyBorder="1" applyAlignment="1">
      <alignment horizontal="center"/>
    </xf>
    <xf numFmtId="0" fontId="3" fillId="33" borderId="1" xfId="0" applyFont="1" applyFill="1" applyBorder="1"/>
    <xf numFmtId="0" fontId="3" fillId="22" borderId="1" xfId="2" applyNumberFormat="1" applyFont="1" applyFill="1" applyBorder="1" applyAlignment="1">
      <alignment horizontal="left"/>
    </xf>
    <xf numFmtId="3" fontId="3" fillId="22" borderId="1" xfId="0" applyNumberFormat="1" applyFont="1" applyFill="1" applyBorder="1"/>
    <xf numFmtId="0" fontId="36" fillId="0" borderId="0" xfId="0" applyFont="1" applyFill="1"/>
    <xf numFmtId="0" fontId="13" fillId="0" borderId="1" xfId="0" applyFont="1" applyFill="1" applyBorder="1" applyAlignment="1">
      <alignment horizontal="left"/>
    </xf>
    <xf numFmtId="0" fontId="13" fillId="0" borderId="1" xfId="0" applyFont="1" applyFill="1" applyBorder="1" applyAlignment="1">
      <alignment horizontal="center" vertical="center"/>
    </xf>
    <xf numFmtId="186" fontId="13" fillId="34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/>
    </xf>
    <xf numFmtId="186" fontId="13" fillId="0" borderId="1" xfId="0" applyNumberFormat="1" applyFont="1" applyBorder="1"/>
    <xf numFmtId="0" fontId="13" fillId="8" borderId="1" xfId="0" applyFont="1" applyFill="1" applyBorder="1" applyAlignment="1">
      <alignment horizontal="center" vertical="center"/>
    </xf>
    <xf numFmtId="0" fontId="13" fillId="32" borderId="1" xfId="0" applyFont="1" applyFill="1" applyBorder="1" applyAlignment="1">
      <alignment horizontal="center" vertical="center"/>
    </xf>
    <xf numFmtId="176" fontId="18" fillId="33" borderId="1" xfId="2" applyFont="1" applyFill="1" applyBorder="1" applyAlignment="1">
      <alignment horizontal="center"/>
    </xf>
    <xf numFmtId="0" fontId="18" fillId="0" borderId="1" xfId="2" applyNumberFormat="1" applyFont="1" applyBorder="1" applyAlignment="1">
      <alignment horizontal="left"/>
    </xf>
    <xf numFmtId="0" fontId="18" fillId="0" borderId="0" xfId="2" applyNumberFormat="1" applyFont="1" applyBorder="1" applyAlignment="1">
      <alignment horizontal="left"/>
    </xf>
    <xf numFmtId="0" fontId="18" fillId="0" borderId="0" xfId="2" applyNumberFormat="1" applyFont="1" applyFill="1" applyBorder="1" applyAlignment="1">
      <alignment horizontal="left"/>
    </xf>
    <xf numFmtId="0" fontId="18" fillId="22" borderId="1" xfId="2" applyNumberFormat="1" applyFont="1" applyFill="1" applyBorder="1" applyAlignment="1">
      <alignment horizontal="left"/>
    </xf>
    <xf numFmtId="39" fontId="2" fillId="4" borderId="1" xfId="1" applyNumberFormat="1" applyFont="1" applyFill="1" applyBorder="1" applyAlignment="1">
      <alignment horizontal="right" vertical="center"/>
    </xf>
    <xf numFmtId="3" fontId="0" fillId="0" borderId="1" xfId="0" applyNumberFormat="1" applyFill="1" applyBorder="1" applyAlignment="1">
      <alignment horizontal="right" vertical="center"/>
    </xf>
    <xf numFmtId="0" fontId="0" fillId="0" borderId="1" xfId="0" applyNumberFormat="1" applyFill="1" applyBorder="1" applyAlignment="1">
      <alignment horizontal="right" vertical="center"/>
    </xf>
    <xf numFmtId="0" fontId="37" fillId="0" borderId="0" xfId="0" applyFont="1" applyFill="1"/>
    <xf numFmtId="0" fontId="2" fillId="7" borderId="0" xfId="0" applyFont="1" applyFill="1" applyAlignment="1"/>
    <xf numFmtId="1" fontId="0" fillId="0" borderId="0" xfId="0" applyNumberFormat="1" applyBorder="1"/>
    <xf numFmtId="3" fontId="0" fillId="0" borderId="0" xfId="0" applyNumberFormat="1" applyBorder="1"/>
    <xf numFmtId="4" fontId="0" fillId="0" borderId="0" xfId="0" applyNumberFormat="1" applyBorder="1"/>
    <xf numFmtId="186" fontId="0" fillId="0" borderId="0" xfId="0" applyNumberFormat="1" applyFill="1" applyBorder="1"/>
    <xf numFmtId="4" fontId="2" fillId="0" borderId="0" xfId="0" applyNumberFormat="1" applyFont="1" applyFill="1" applyAlignment="1"/>
    <xf numFmtId="3" fontId="2" fillId="0" borderId="0" xfId="0" applyNumberFormat="1" applyFont="1" applyFill="1"/>
    <xf numFmtId="37" fontId="2" fillId="35" borderId="1" xfId="0" applyNumberFormat="1" applyFont="1" applyFill="1" applyBorder="1" applyAlignment="1">
      <alignment horizontal="right" vertical="center"/>
    </xf>
    <xf numFmtId="4" fontId="2" fillId="36" borderId="0" xfId="0" applyNumberFormat="1" applyFont="1" applyFill="1" applyAlignment="1"/>
    <xf numFmtId="180" fontId="2" fillId="21" borderId="1" xfId="0" applyNumberFormat="1" applyFont="1" applyFill="1" applyBorder="1" applyAlignment="1">
      <alignment horizontal="right" vertical="center"/>
    </xf>
    <xf numFmtId="3" fontId="2" fillId="0" borderId="0" xfId="0" applyNumberFormat="1" applyFont="1" applyAlignment="1">
      <alignment horizontal="right"/>
    </xf>
    <xf numFmtId="0" fontId="20" fillId="37" borderId="1" xfId="0" applyFont="1" applyFill="1" applyBorder="1" applyAlignment="1">
      <alignment horizontal="center"/>
    </xf>
    <xf numFmtId="0" fontId="13" fillId="37" borderId="1" xfId="0" applyFont="1" applyFill="1" applyBorder="1" applyAlignment="1">
      <alignment horizontal="center" vertical="center"/>
    </xf>
    <xf numFmtId="0" fontId="20" fillId="37" borderId="1" xfId="0" applyFont="1" applyFill="1" applyBorder="1"/>
    <xf numFmtId="0" fontId="13" fillId="37" borderId="1" xfId="0" applyFont="1" applyFill="1" applyBorder="1"/>
    <xf numFmtId="0" fontId="3" fillId="0" borderId="0" xfId="0" applyFont="1" applyFill="1"/>
    <xf numFmtId="0" fontId="14" fillId="0" borderId="0" xfId="0" applyFont="1" applyFill="1" applyBorder="1"/>
    <xf numFmtId="0" fontId="14" fillId="0" borderId="0" xfId="0" applyFont="1" applyFill="1" applyBorder="1" applyAlignment="1">
      <alignment horizontal="center"/>
    </xf>
    <xf numFmtId="0" fontId="20" fillId="27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/>
    </xf>
    <xf numFmtId="0" fontId="19" fillId="0" borderId="0" xfId="0" applyFont="1" applyFill="1" applyAlignment="1">
      <alignment horizontal="left"/>
    </xf>
    <xf numFmtId="0" fontId="16" fillId="0" borderId="0" xfId="0" applyFont="1" applyFill="1" applyBorder="1"/>
    <xf numFmtId="3" fontId="14" fillId="0" borderId="0" xfId="0" applyNumberFormat="1" applyFont="1" applyFill="1"/>
    <xf numFmtId="3" fontId="15" fillId="0" borderId="0" xfId="0" applyNumberFormat="1" applyFont="1" applyFill="1" applyBorder="1" applyAlignment="1">
      <alignment horizontal="center"/>
    </xf>
    <xf numFmtId="168" fontId="14" fillId="0" borderId="0" xfId="0" applyNumberFormat="1" applyFont="1" applyFill="1" applyBorder="1"/>
    <xf numFmtId="0" fontId="20" fillId="38" borderId="1" xfId="0" applyFont="1" applyFill="1" applyBorder="1" applyAlignment="1">
      <alignment horizontal="center" vertical="center"/>
    </xf>
    <xf numFmtId="0" fontId="20" fillId="38" borderId="1" xfId="0" applyFont="1" applyFill="1" applyBorder="1" applyAlignment="1">
      <alignment horizontal="center"/>
    </xf>
    <xf numFmtId="0" fontId="21" fillId="38" borderId="1" xfId="0" applyFont="1" applyFill="1" applyBorder="1" applyAlignment="1">
      <alignment horizontal="center"/>
    </xf>
    <xf numFmtId="0" fontId="2" fillId="38" borderId="1" xfId="0" applyFont="1" applyFill="1" applyBorder="1" applyAlignment="1">
      <alignment horizontal="center"/>
    </xf>
    <xf numFmtId="0" fontId="20" fillId="39" borderId="1" xfId="0" applyFont="1" applyFill="1" applyBorder="1" applyAlignment="1">
      <alignment horizontal="center" vertical="center"/>
    </xf>
    <xf numFmtId="0" fontId="20" fillId="39" borderId="1" xfId="0" applyFont="1" applyFill="1" applyBorder="1" applyAlignment="1">
      <alignment horizontal="center"/>
    </xf>
    <xf numFmtId="0" fontId="21" fillId="39" borderId="1" xfId="0" applyFont="1" applyFill="1" applyBorder="1"/>
    <xf numFmtId="0" fontId="21" fillId="39" borderId="1" xfId="0" applyFont="1" applyFill="1" applyBorder="1" applyAlignment="1">
      <alignment horizontal="center"/>
    </xf>
    <xf numFmtId="0" fontId="2" fillId="39" borderId="1" xfId="0" applyFont="1" applyFill="1" applyBorder="1" applyAlignment="1">
      <alignment horizontal="center"/>
    </xf>
    <xf numFmtId="0" fontId="20" fillId="38" borderId="1" xfId="0" applyFont="1" applyFill="1" applyBorder="1"/>
    <xf numFmtId="0" fontId="20" fillId="40" borderId="1" xfId="0" applyFont="1" applyFill="1" applyBorder="1" applyAlignment="1">
      <alignment horizontal="center" vertical="center"/>
    </xf>
    <xf numFmtId="0" fontId="20" fillId="40" borderId="1" xfId="0" applyFont="1" applyFill="1" applyBorder="1" applyAlignment="1">
      <alignment horizontal="center"/>
    </xf>
    <xf numFmtId="0" fontId="20" fillId="40" borderId="1" xfId="0" applyFont="1" applyFill="1" applyBorder="1"/>
    <xf numFmtId="0" fontId="21" fillId="40" borderId="1" xfId="0" applyFont="1" applyFill="1" applyBorder="1" applyAlignment="1">
      <alignment horizontal="center"/>
    </xf>
    <xf numFmtId="0" fontId="2" fillId="40" borderId="1" xfId="0" applyFont="1" applyFill="1" applyBorder="1" applyAlignment="1">
      <alignment horizontal="center"/>
    </xf>
    <xf numFmtId="0" fontId="20" fillId="41" borderId="1" xfId="0" applyFont="1" applyFill="1" applyBorder="1" applyAlignment="1">
      <alignment horizontal="center" vertical="center"/>
    </xf>
    <xf numFmtId="0" fontId="20" fillId="41" borderId="1" xfId="0" applyFont="1" applyFill="1" applyBorder="1" applyAlignment="1">
      <alignment horizontal="center"/>
    </xf>
    <xf numFmtId="0" fontId="21" fillId="41" borderId="1" xfId="0" applyFont="1" applyFill="1" applyBorder="1"/>
    <xf numFmtId="0" fontId="21" fillId="41" borderId="1" xfId="0" applyFont="1" applyFill="1" applyBorder="1" applyAlignment="1">
      <alignment horizontal="center"/>
    </xf>
    <xf numFmtId="37" fontId="2" fillId="23" borderId="1" xfId="0" applyNumberFormat="1" applyFont="1" applyFill="1" applyBorder="1"/>
    <xf numFmtId="4" fontId="0" fillId="0" borderId="1" xfId="1" applyNumberFormat="1" applyFont="1" applyBorder="1" applyAlignment="1">
      <alignment horizontal="right"/>
    </xf>
    <xf numFmtId="0" fontId="18" fillId="0" borderId="0" xfId="0" applyFont="1" applyFill="1"/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4" fillId="33" borderId="1" xfId="0" applyFont="1" applyFill="1" applyBorder="1" applyAlignment="1">
      <alignment horizontal="center" vertical="center"/>
    </xf>
    <xf numFmtId="186" fontId="0" fillId="33" borderId="1" xfId="0" applyNumberFormat="1" applyFill="1" applyBorder="1" applyAlignment="1">
      <alignment horizontal="center" vertical="center"/>
    </xf>
    <xf numFmtId="0" fontId="0" fillId="33" borderId="1" xfId="0" applyFill="1" applyBorder="1" applyAlignment="1">
      <alignment horizontal="center"/>
    </xf>
    <xf numFmtId="3" fontId="2" fillId="38" borderId="1" xfId="0" applyNumberFormat="1" applyFont="1" applyFill="1" applyBorder="1" applyAlignment="1">
      <alignment horizontal="right"/>
    </xf>
    <xf numFmtId="0" fontId="15" fillId="0" borderId="0" xfId="0" applyFont="1"/>
    <xf numFmtId="2" fontId="2" fillId="8" borderId="0" xfId="0" applyNumberFormat="1" applyFont="1" applyFill="1" applyAlignment="1">
      <alignment horizontal="right"/>
    </xf>
    <xf numFmtId="191" fontId="2" fillId="7" borderId="0" xfId="0" applyNumberFormat="1" applyFont="1" applyFill="1"/>
    <xf numFmtId="0" fontId="20" fillId="8" borderId="7" xfId="0" applyFont="1" applyFill="1" applyBorder="1" applyAlignment="1">
      <alignment horizontal="center"/>
    </xf>
    <xf numFmtId="0" fontId="2" fillId="42" borderId="1" xfId="0" applyFont="1" applyFill="1" applyBorder="1" applyAlignment="1">
      <alignment horizontal="center"/>
    </xf>
    <xf numFmtId="3" fontId="13" fillId="37" borderId="7" xfId="0" applyNumberFormat="1" applyFont="1" applyFill="1" applyBorder="1"/>
    <xf numFmtId="3" fontId="20" fillId="37" borderId="7" xfId="0" applyNumberFormat="1" applyFont="1" applyFill="1" applyBorder="1"/>
    <xf numFmtId="3" fontId="13" fillId="18" borderId="7" xfId="0" applyNumberFormat="1" applyFont="1" applyFill="1" applyBorder="1"/>
    <xf numFmtId="3" fontId="20" fillId="18" borderId="7" xfId="0" applyNumberFormat="1" applyFont="1" applyFill="1" applyBorder="1"/>
    <xf numFmtId="3" fontId="20" fillId="19" borderId="7" xfId="0" applyNumberFormat="1" applyFont="1" applyFill="1" applyBorder="1"/>
    <xf numFmtId="3" fontId="13" fillId="32" borderId="7" xfId="0" applyNumberFormat="1" applyFont="1" applyFill="1" applyBorder="1" applyAlignment="1"/>
    <xf numFmtId="3" fontId="20" fillId="32" borderId="7" xfId="0" applyNumberFormat="1" applyFont="1" applyFill="1" applyBorder="1" applyAlignment="1"/>
    <xf numFmtId="3" fontId="13" fillId="43" borderId="7" xfId="0" applyNumberFormat="1" applyFont="1" applyFill="1" applyBorder="1"/>
    <xf numFmtId="3" fontId="20" fillId="43" borderId="7" xfId="0" applyNumberFormat="1" applyFont="1" applyFill="1" applyBorder="1"/>
    <xf numFmtId="3" fontId="13" fillId="44" borderId="7" xfId="0" applyNumberFormat="1" applyFont="1" applyFill="1" applyBorder="1"/>
    <xf numFmtId="3" fontId="20" fillId="44" borderId="7" xfId="0" applyNumberFormat="1" applyFont="1" applyFill="1" applyBorder="1"/>
    <xf numFmtId="0" fontId="13" fillId="44" borderId="7" xfId="0" applyFont="1" applyFill="1" applyBorder="1"/>
    <xf numFmtId="0" fontId="14" fillId="0" borderId="1" xfId="0" applyFont="1" applyFill="1" applyBorder="1"/>
    <xf numFmtId="2" fontId="14" fillId="0" borderId="1" xfId="0" applyNumberFormat="1" applyFont="1" applyFill="1" applyBorder="1"/>
    <xf numFmtId="2" fontId="14" fillId="0" borderId="1" xfId="1" applyNumberFormat="1" applyFont="1" applyFill="1" applyBorder="1"/>
    <xf numFmtId="0" fontId="13" fillId="0" borderId="0" xfId="0" applyFont="1" applyFill="1" applyBorder="1" applyAlignment="1">
      <alignment horizontal="center"/>
    </xf>
    <xf numFmtId="0" fontId="20" fillId="0" borderId="0" xfId="0" applyFont="1" applyFill="1" applyBorder="1" applyAlignment="1">
      <alignment horizontal="center"/>
    </xf>
    <xf numFmtId="4" fontId="13" fillId="0" borderId="0" xfId="0" applyNumberFormat="1" applyFont="1" applyFill="1" applyBorder="1"/>
    <xf numFmtId="2" fontId="20" fillId="0" borderId="0" xfId="0" applyNumberFormat="1" applyFont="1" applyFill="1" applyBorder="1" applyAlignment="1">
      <alignment horizontal="center"/>
    </xf>
    <xf numFmtId="3" fontId="20" fillId="0" borderId="0" xfId="0" applyNumberFormat="1" applyFont="1" applyFill="1" applyBorder="1"/>
    <xf numFmtId="180" fontId="0" fillId="0" borderId="1" xfId="0" applyNumberFormat="1" applyBorder="1" applyAlignment="1">
      <alignment horizontal="center"/>
    </xf>
    <xf numFmtId="201" fontId="0" fillId="0" borderId="1" xfId="0" applyNumberForma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86" fontId="0" fillId="0" borderId="0" xfId="0" applyNumberFormat="1" applyBorder="1" applyAlignment="1">
      <alignment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180" fontId="0" fillId="0" borderId="1" xfId="0" applyNumberFormat="1" applyBorder="1" applyAlignment="1">
      <alignment horizontal="center" vertical="center"/>
    </xf>
    <xf numFmtId="180" fontId="4" fillId="0" borderId="1" xfId="0" applyNumberFormat="1" applyFont="1" applyBorder="1" applyAlignment="1">
      <alignment horizontal="center" vertical="center"/>
    </xf>
    <xf numFmtId="0" fontId="13" fillId="0" borderId="0" xfId="0" applyFont="1" applyFill="1" applyBorder="1" applyAlignment="1">
      <alignment vertical="center"/>
    </xf>
    <xf numFmtId="180" fontId="4" fillId="0" borderId="1" xfId="0" applyNumberFormat="1" applyFont="1" applyBorder="1" applyAlignment="1">
      <alignment horizontal="center"/>
    </xf>
    <xf numFmtId="186" fontId="0" fillId="0" borderId="0" xfId="0" applyNumberFormat="1" applyFill="1" applyBorder="1" applyAlignment="1">
      <alignment horizontal="center"/>
    </xf>
    <xf numFmtId="0" fontId="20" fillId="45" borderId="1" xfId="0" applyFont="1" applyFill="1" applyBorder="1" applyAlignment="1">
      <alignment horizontal="center"/>
    </xf>
    <xf numFmtId="3" fontId="20" fillId="0" borderId="1" xfId="0" applyNumberFormat="1" applyFont="1" applyFill="1" applyBorder="1"/>
    <xf numFmtId="0" fontId="13" fillId="0" borderId="1" xfId="0" applyFont="1" applyFill="1" applyBorder="1" applyAlignment="1"/>
    <xf numFmtId="0" fontId="3" fillId="0" borderId="0" xfId="0" applyFont="1" applyFill="1" applyAlignment="1"/>
    <xf numFmtId="2" fontId="28" fillId="0" borderId="1" xfId="0" applyNumberFormat="1" applyFont="1" applyFill="1" applyBorder="1"/>
    <xf numFmtId="0" fontId="20" fillId="0" borderId="1" xfId="0" applyFont="1" applyFill="1" applyBorder="1" applyAlignment="1">
      <alignment horizontal="center" vertical="center"/>
    </xf>
    <xf numFmtId="0" fontId="13" fillId="46" borderId="1" xfId="0" applyFont="1" applyFill="1" applyBorder="1" applyAlignment="1">
      <alignment horizontal="center"/>
    </xf>
    <xf numFmtId="0" fontId="20" fillId="46" borderId="1" xfId="0" applyFont="1" applyFill="1" applyBorder="1" applyAlignment="1">
      <alignment horizontal="center"/>
    </xf>
    <xf numFmtId="0" fontId="20" fillId="46" borderId="1" xfId="0" applyFont="1" applyFill="1" applyBorder="1"/>
    <xf numFmtId="3" fontId="13" fillId="46" borderId="1" xfId="0" applyNumberFormat="1" applyFont="1" applyFill="1" applyBorder="1"/>
    <xf numFmtId="0" fontId="13" fillId="46" borderId="1" xfId="0" applyFont="1" applyFill="1" applyBorder="1"/>
    <xf numFmtId="2" fontId="13" fillId="46" borderId="1" xfId="0" applyNumberFormat="1" applyFont="1" applyFill="1" applyBorder="1"/>
    <xf numFmtId="3" fontId="13" fillId="46" borderId="7" xfId="0" applyNumberFormat="1" applyFont="1" applyFill="1" applyBorder="1"/>
    <xf numFmtId="2" fontId="20" fillId="46" borderId="1" xfId="0" applyNumberFormat="1" applyFont="1" applyFill="1" applyBorder="1" applyAlignment="1">
      <alignment horizontal="center"/>
    </xf>
    <xf numFmtId="3" fontId="20" fillId="46" borderId="7" xfId="0" applyNumberFormat="1" applyFont="1" applyFill="1" applyBorder="1"/>
    <xf numFmtId="0" fontId="4" fillId="24" borderId="1" xfId="0" applyFont="1" applyFill="1" applyBorder="1" applyAlignment="1">
      <alignment horizontal="center"/>
    </xf>
    <xf numFmtId="2" fontId="14" fillId="47" borderId="1" xfId="0" applyNumberFormat="1" applyFont="1" applyFill="1" applyBorder="1"/>
    <xf numFmtId="2" fontId="14" fillId="47" borderId="1" xfId="1" applyNumberFormat="1" applyFont="1" applyFill="1" applyBorder="1"/>
    <xf numFmtId="3" fontId="28" fillId="0" borderId="0" xfId="0" applyNumberFormat="1" applyFont="1"/>
    <xf numFmtId="0" fontId="4" fillId="0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/>
    </xf>
    <xf numFmtId="0" fontId="0" fillId="0" borderId="1" xfId="1" applyNumberFormat="1" applyFont="1" applyBorder="1" applyAlignment="1">
      <alignment horizontal="right"/>
    </xf>
    <xf numFmtId="0" fontId="0" fillId="48" borderId="1" xfId="0" applyFill="1" applyBorder="1" applyAlignment="1">
      <alignment horizontal="right"/>
    </xf>
    <xf numFmtId="186" fontId="4" fillId="0" borderId="1" xfId="0" applyNumberFormat="1" applyFont="1" applyBorder="1" applyAlignment="1">
      <alignment horizontal="center"/>
    </xf>
    <xf numFmtId="0" fontId="2" fillId="22" borderId="3" xfId="0" applyFont="1" applyFill="1" applyBorder="1" applyAlignment="1">
      <alignment horizontal="center"/>
    </xf>
    <xf numFmtId="3" fontId="2" fillId="22" borderId="3" xfId="0" applyNumberFormat="1" applyFont="1" applyFill="1" applyBorder="1"/>
    <xf numFmtId="1" fontId="2" fillId="22" borderId="3" xfId="0" applyNumberFormat="1" applyFont="1" applyFill="1" applyBorder="1"/>
    <xf numFmtId="2" fontId="2" fillId="22" borderId="3" xfId="0" applyNumberFormat="1" applyFont="1" applyFill="1" applyBorder="1"/>
    <xf numFmtId="201" fontId="0" fillId="0" borderId="1" xfId="0" applyNumberFormat="1" applyFill="1" applyBorder="1" applyAlignment="1">
      <alignment horizontal="center" vertical="center"/>
    </xf>
    <xf numFmtId="37" fontId="0" fillId="0" borderId="1" xfId="0" applyNumberFormat="1" applyBorder="1" applyAlignment="1">
      <alignment horizontal="right"/>
    </xf>
    <xf numFmtId="1" fontId="4" fillId="0" borderId="1" xfId="0" applyNumberFormat="1" applyFont="1" applyFill="1" applyBorder="1" applyAlignment="1">
      <alignment horizontal="center" vertical="center"/>
    </xf>
    <xf numFmtId="186" fontId="0" fillId="0" borderId="1" xfId="0" applyNumberFormat="1" applyFill="1" applyBorder="1" applyAlignment="1">
      <alignment horizontal="center"/>
    </xf>
    <xf numFmtId="180" fontId="0" fillId="0" borderId="1" xfId="0" applyNumberFormat="1" applyFill="1" applyBorder="1" applyAlignment="1">
      <alignment horizontal="center"/>
    </xf>
    <xf numFmtId="0" fontId="2" fillId="33" borderId="1" xfId="0" applyFont="1" applyFill="1" applyBorder="1" applyAlignment="1">
      <alignment horizontal="center"/>
    </xf>
    <xf numFmtId="3" fontId="13" fillId="33" borderId="1" xfId="1" applyNumberFormat="1" applyFont="1" applyFill="1" applyBorder="1" applyAlignment="1">
      <alignment horizontal="right"/>
    </xf>
    <xf numFmtId="169" fontId="26" fillId="33" borderId="1" xfId="1" applyFont="1" applyFill="1" applyBorder="1" applyAlignment="1">
      <alignment horizontal="center"/>
    </xf>
    <xf numFmtId="0" fontId="0" fillId="48" borderId="1" xfId="0" applyFill="1" applyBorder="1" applyAlignment="1">
      <alignment horizontal="center"/>
    </xf>
    <xf numFmtId="3" fontId="13" fillId="48" borderId="1" xfId="1" applyNumberFormat="1" applyFont="1" applyFill="1" applyBorder="1" applyAlignment="1">
      <alignment horizontal="right"/>
    </xf>
    <xf numFmtId="3" fontId="2" fillId="0" borderId="0" xfId="0" applyNumberFormat="1" applyFont="1" applyFill="1" applyAlignment="1">
      <alignment horizontal="center"/>
    </xf>
    <xf numFmtId="0" fontId="0" fillId="0" borderId="0" xfId="0" applyFill="1" applyBorder="1" applyAlignment="1">
      <alignment horizontal="center"/>
    </xf>
    <xf numFmtId="169" fontId="24" fillId="33" borderId="1" xfId="1" applyFont="1" applyFill="1" applyBorder="1" applyAlignment="1">
      <alignment horizontal="center"/>
    </xf>
    <xf numFmtId="1" fontId="0" fillId="0" borderId="1" xfId="0" applyNumberFormat="1" applyFill="1" applyBorder="1" applyAlignment="1">
      <alignment horizontal="right"/>
    </xf>
    <xf numFmtId="179" fontId="0" fillId="0" borderId="1" xfId="0" applyNumberFormat="1" applyFill="1" applyBorder="1" applyAlignment="1">
      <alignment horizontal="right"/>
    </xf>
    <xf numFmtId="3" fontId="0" fillId="0" borderId="1" xfId="0" applyNumberFormat="1" applyFill="1" applyBorder="1" applyAlignment="1"/>
    <xf numFmtId="0" fontId="0" fillId="0" borderId="1" xfId="0" applyNumberFormat="1" applyFill="1" applyBorder="1" applyAlignment="1">
      <alignment horizontal="center"/>
    </xf>
    <xf numFmtId="0" fontId="20" fillId="49" borderId="1" xfId="0" applyFont="1" applyFill="1" applyBorder="1" applyAlignment="1">
      <alignment horizontal="center" vertical="center"/>
    </xf>
    <xf numFmtId="0" fontId="20" fillId="49" borderId="1" xfId="0" applyFont="1" applyFill="1" applyBorder="1" applyAlignment="1">
      <alignment horizontal="center"/>
    </xf>
    <xf numFmtId="0" fontId="21" fillId="49" borderId="1" xfId="0" applyFont="1" applyFill="1" applyBorder="1"/>
    <xf numFmtId="0" fontId="21" fillId="49" borderId="1" xfId="0" applyFont="1" applyFill="1" applyBorder="1" applyAlignment="1">
      <alignment horizontal="center"/>
    </xf>
    <xf numFmtId="0" fontId="2" fillId="17" borderId="0" xfId="0" applyFont="1" applyFill="1"/>
    <xf numFmtId="2" fontId="2" fillId="8" borderId="0" xfId="0" applyNumberFormat="1" applyFont="1" applyFill="1" applyAlignment="1">
      <alignment horizontal="center"/>
    </xf>
    <xf numFmtId="3" fontId="2" fillId="7" borderId="0" xfId="0" applyNumberFormat="1" applyFont="1" applyFill="1" applyAlignment="1">
      <alignment horizontal="center"/>
    </xf>
    <xf numFmtId="3" fontId="2" fillId="6" borderId="0" xfId="0" applyNumberFormat="1" applyFont="1" applyFill="1" applyAlignment="1">
      <alignment horizontal="center"/>
    </xf>
    <xf numFmtId="0" fontId="37" fillId="0" borderId="0" xfId="0" applyFont="1" applyFill="1" applyAlignment="1">
      <alignment horizontal="center"/>
    </xf>
    <xf numFmtId="3" fontId="13" fillId="0" borderId="1" xfId="1" applyNumberFormat="1" applyFont="1" applyFill="1" applyBorder="1" applyAlignment="1">
      <alignment horizontal="center"/>
    </xf>
    <xf numFmtId="3" fontId="13" fillId="33" borderId="1" xfId="1" applyNumberFormat="1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184" fontId="2" fillId="4" borderId="1" xfId="0" applyNumberFormat="1" applyFont="1" applyFill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3" fontId="0" fillId="0" borderId="0" xfId="0" applyNumberFormat="1" applyBorder="1" applyAlignment="1">
      <alignment horizontal="center"/>
    </xf>
    <xf numFmtId="3" fontId="0" fillId="0" borderId="0" xfId="0" applyNumberFormat="1" applyBorder="1" applyAlignment="1">
      <alignment horizontal="center" vertical="center"/>
    </xf>
    <xf numFmtId="2" fontId="2" fillId="4" borderId="1" xfId="1" applyNumberFormat="1" applyFont="1" applyFill="1" applyBorder="1" applyAlignment="1">
      <alignment horizontal="center"/>
    </xf>
    <xf numFmtId="184" fontId="2" fillId="4" borderId="1" xfId="1" applyNumberFormat="1" applyFont="1" applyFill="1" applyBorder="1" applyAlignment="1">
      <alignment horizontal="center" vertical="center"/>
    </xf>
    <xf numFmtId="2" fontId="2" fillId="0" borderId="0" xfId="0" applyNumberFormat="1" applyFont="1" applyFill="1" applyBorder="1" applyAlignment="1">
      <alignment horizontal="center"/>
    </xf>
    <xf numFmtId="2" fontId="2" fillId="0" borderId="0" xfId="0" applyNumberFormat="1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/>
    </xf>
    <xf numFmtId="184" fontId="2" fillId="0" borderId="0" xfId="0" applyNumberFormat="1" applyFont="1" applyFill="1" applyBorder="1" applyAlignment="1">
      <alignment horizontal="center" vertical="center"/>
    </xf>
    <xf numFmtId="3" fontId="2" fillId="4" borderId="0" xfId="0" applyNumberFormat="1" applyFont="1" applyFill="1" applyAlignment="1">
      <alignment horizontal="center"/>
    </xf>
    <xf numFmtId="0" fontId="2" fillId="20" borderId="3" xfId="0" applyFont="1" applyFill="1" applyBorder="1" applyAlignment="1">
      <alignment horizontal="center" vertical="center"/>
    </xf>
    <xf numFmtId="0" fontId="2" fillId="20" borderId="4" xfId="0" applyFont="1" applyFill="1" applyBorder="1" applyAlignment="1">
      <alignment horizontal="center" vertical="center"/>
    </xf>
    <xf numFmtId="0" fontId="2" fillId="40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right"/>
    </xf>
    <xf numFmtId="3" fontId="2" fillId="4" borderId="1" xfId="0" applyNumberFormat="1" applyFont="1" applyFill="1" applyBorder="1" applyAlignment="1">
      <alignment horizontal="right"/>
    </xf>
    <xf numFmtId="3" fontId="2" fillId="0" borderId="0" xfId="0" applyNumberFormat="1" applyFont="1" applyFill="1" applyBorder="1" applyAlignment="1">
      <alignment horizontal="right"/>
    </xf>
    <xf numFmtId="3" fontId="2" fillId="6" borderId="0" xfId="0" applyNumberFormat="1" applyFont="1" applyFill="1" applyAlignment="1">
      <alignment horizontal="right"/>
    </xf>
    <xf numFmtId="0" fontId="0" fillId="0" borderId="0" xfId="0" applyAlignment="1">
      <alignment horizontal="right"/>
    </xf>
    <xf numFmtId="3" fontId="2" fillId="0" borderId="0" xfId="0" applyNumberFormat="1" applyFont="1" applyFill="1" applyAlignment="1">
      <alignment horizontal="right"/>
    </xf>
    <xf numFmtId="3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37" fontId="0" fillId="25" borderId="1" xfId="0" applyNumberFormat="1" applyFill="1" applyBorder="1" applyAlignment="1">
      <alignment horizontal="right" vertical="center"/>
    </xf>
    <xf numFmtId="4" fontId="2" fillId="41" borderId="1" xfId="0" applyNumberFormat="1" applyFont="1" applyFill="1" applyBorder="1" applyAlignment="1">
      <alignment horizontal="right"/>
    </xf>
    <xf numFmtId="4" fontId="2" fillId="38" borderId="1" xfId="0" applyNumberFormat="1" applyFont="1" applyFill="1" applyBorder="1" applyAlignment="1">
      <alignment horizontal="right"/>
    </xf>
    <xf numFmtId="4" fontId="0" fillId="0" borderId="1" xfId="1" applyNumberFormat="1" applyFont="1" applyFill="1" applyBorder="1" applyAlignment="1">
      <alignment horizontal="right"/>
    </xf>
    <xf numFmtId="4" fontId="2" fillId="38" borderId="1" xfId="1" applyNumberFormat="1" applyFont="1" applyFill="1" applyBorder="1" applyAlignment="1">
      <alignment horizontal="right"/>
    </xf>
    <xf numFmtId="4" fontId="0" fillId="0" borderId="1" xfId="0" applyNumberFormat="1" applyFill="1" applyBorder="1" applyAlignment="1">
      <alignment horizontal="right"/>
    </xf>
    <xf numFmtId="4" fontId="4" fillId="0" borderId="1" xfId="0" applyNumberFormat="1" applyFont="1" applyFill="1" applyBorder="1"/>
    <xf numFmtId="4" fontId="4" fillId="0" borderId="1" xfId="0" applyNumberFormat="1" applyFont="1" applyFill="1" applyBorder="1" applyAlignment="1">
      <alignment horizontal="right"/>
    </xf>
    <xf numFmtId="4" fontId="2" fillId="22" borderId="1" xfId="0" applyNumberFormat="1" applyFont="1" applyFill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2" fillId="0" borderId="0" xfId="0" applyFont="1" applyFill="1" applyBorder="1" applyAlignment="1">
      <alignment horizontal="center" vertical="center"/>
    </xf>
    <xf numFmtId="3" fontId="38" fillId="21" borderId="1" xfId="0" applyNumberFormat="1" applyFont="1" applyFill="1" applyBorder="1" applyAlignment="1"/>
    <xf numFmtId="3" fontId="8" fillId="21" borderId="1" xfId="1" applyNumberFormat="1" applyFont="1" applyFill="1" applyBorder="1" applyAlignment="1"/>
    <xf numFmtId="3" fontId="0" fillId="21" borderId="1" xfId="0" applyNumberFormat="1" applyFill="1" applyBorder="1" applyAlignment="1"/>
    <xf numFmtId="3" fontId="8" fillId="21" borderId="1" xfId="1" applyNumberFormat="1" applyFont="1" applyFill="1" applyBorder="1" applyAlignment="1">
      <alignment horizontal="right"/>
    </xf>
    <xf numFmtId="3" fontId="8" fillId="21" borderId="1" xfId="0" applyNumberFormat="1" applyFont="1" applyFill="1" applyBorder="1" applyAlignment="1"/>
    <xf numFmtId="186" fontId="4" fillId="0" borderId="1" xfId="0" applyNumberFormat="1" applyFont="1" applyFill="1" applyBorder="1" applyAlignment="1">
      <alignment horizontal="center" vertical="center"/>
    </xf>
    <xf numFmtId="0" fontId="39" fillId="0" borderId="1" xfId="0" applyNumberFormat="1" applyFont="1" applyBorder="1" applyAlignment="1">
      <alignment horizontal="center"/>
    </xf>
    <xf numFmtId="0" fontId="39" fillId="0" borderId="1" xfId="0" applyNumberFormat="1" applyFont="1" applyFill="1" applyBorder="1" applyAlignment="1">
      <alignment horizontal="center"/>
    </xf>
    <xf numFmtId="169" fontId="6" fillId="0" borderId="1" xfId="1" applyFont="1" applyBorder="1" applyAlignment="1">
      <alignment horizontal="right"/>
    </xf>
    <xf numFmtId="169" fontId="8" fillId="0" borderId="1" xfId="1" applyFont="1" applyBorder="1" applyAlignment="1">
      <alignment horizontal="right"/>
    </xf>
    <xf numFmtId="169" fontId="2" fillId="10" borderId="1" xfId="1" applyFont="1" applyFill="1" applyBorder="1" applyAlignment="1">
      <alignment horizontal="right"/>
    </xf>
    <xf numFmtId="169" fontId="2" fillId="3" borderId="1" xfId="1" applyFont="1" applyFill="1" applyBorder="1" applyAlignment="1">
      <alignment horizontal="right" vertical="center"/>
    </xf>
    <xf numFmtId="0" fontId="20" fillId="45" borderId="1" xfId="0" applyFont="1" applyFill="1" applyBorder="1" applyAlignment="1">
      <alignment horizontal="center"/>
    </xf>
    <xf numFmtId="2" fontId="20" fillId="0" borderId="1" xfId="0" applyNumberFormat="1" applyFont="1" applyFill="1" applyBorder="1" applyAlignment="1">
      <alignment horizontal="center"/>
    </xf>
    <xf numFmtId="3" fontId="20" fillId="0" borderId="7" xfId="0" applyNumberFormat="1" applyFont="1" applyFill="1" applyBorder="1" applyAlignment="1"/>
    <xf numFmtId="4" fontId="13" fillId="46" borderId="1" xfId="0" applyNumberFormat="1" applyFont="1" applyFill="1" applyBorder="1"/>
    <xf numFmtId="3" fontId="13" fillId="0" borderId="0" xfId="0" applyNumberFormat="1" applyFont="1" applyFill="1" applyBorder="1"/>
    <xf numFmtId="169" fontId="20" fillId="46" borderId="7" xfId="1" applyFont="1" applyFill="1" applyBorder="1" applyAlignment="1">
      <alignment horizontal="right"/>
    </xf>
    <xf numFmtId="169" fontId="13" fillId="46" borderId="7" xfId="1" applyFont="1" applyFill="1" applyBorder="1" applyAlignment="1">
      <alignment horizontal="right"/>
    </xf>
    <xf numFmtId="169" fontId="13" fillId="46" borderId="7" xfId="1" applyFont="1" applyFill="1" applyBorder="1"/>
    <xf numFmtId="3" fontId="14" fillId="0" borderId="0" xfId="0" applyNumberFormat="1" applyFont="1"/>
    <xf numFmtId="0" fontId="29" fillId="0" borderId="0" xfId="0" applyFont="1"/>
    <xf numFmtId="186" fontId="4" fillId="0" borderId="1" xfId="0" applyNumberFormat="1" applyFont="1" applyFill="1" applyBorder="1" applyAlignment="1">
      <alignment horizontal="center"/>
    </xf>
    <xf numFmtId="180" fontId="4" fillId="0" borderId="1" xfId="0" applyNumberFormat="1" applyFont="1" applyFill="1" applyBorder="1" applyAlignment="1">
      <alignment horizontal="center"/>
    </xf>
    <xf numFmtId="9" fontId="0" fillId="50" borderId="1" xfId="0" applyNumberFormat="1" applyFill="1" applyBorder="1" applyAlignment="1">
      <alignment horizontal="right"/>
    </xf>
    <xf numFmtId="9" fontId="1" fillId="2" borderId="1" xfId="0" applyNumberFormat="1" applyFont="1" applyFill="1" applyBorder="1" applyAlignment="1">
      <alignment horizontal="center"/>
    </xf>
    <xf numFmtId="169" fontId="13" fillId="33" borderId="1" xfId="1" applyFont="1" applyFill="1" applyBorder="1" applyAlignment="1">
      <alignment horizontal="center"/>
    </xf>
    <xf numFmtId="0" fontId="4" fillId="48" borderId="1" xfId="0" applyFont="1" applyFill="1" applyBorder="1" applyAlignment="1">
      <alignment horizontal="center"/>
    </xf>
    <xf numFmtId="169" fontId="13" fillId="48" borderId="1" xfId="1" applyFont="1" applyFill="1" applyBorder="1" applyAlignment="1">
      <alignment horizontal="center"/>
    </xf>
    <xf numFmtId="0" fontId="2" fillId="51" borderId="1" xfId="0" applyFont="1" applyFill="1" applyBorder="1" applyAlignment="1">
      <alignment horizontal="center"/>
    </xf>
    <xf numFmtId="4" fontId="2" fillId="3" borderId="1" xfId="0" applyNumberFormat="1" applyFont="1" applyFill="1" applyBorder="1" applyAlignment="1"/>
    <xf numFmtId="9" fontId="2" fillId="47" borderId="1" xfId="0" applyNumberFormat="1" applyFont="1" applyFill="1" applyBorder="1" applyAlignment="1">
      <alignment horizontal="center"/>
    </xf>
    <xf numFmtId="2" fontId="2" fillId="0" borderId="0" xfId="1" applyNumberFormat="1" applyFont="1" applyFill="1" applyBorder="1" applyAlignment="1">
      <alignment horizontal="center"/>
    </xf>
    <xf numFmtId="184" fontId="2" fillId="0" borderId="0" xfId="1" applyNumberFormat="1" applyFont="1" applyFill="1" applyBorder="1" applyAlignment="1">
      <alignment horizontal="center" vertical="center"/>
    </xf>
    <xf numFmtId="39" fontId="2" fillId="4" borderId="1" xfId="0" applyNumberFormat="1" applyFont="1" applyFill="1" applyBorder="1" applyAlignment="1">
      <alignment horizontal="right" vertical="center"/>
    </xf>
    <xf numFmtId="0" fontId="0" fillId="17" borderId="0" xfId="0" applyFill="1"/>
    <xf numFmtId="0" fontId="32" fillId="0" borderId="0" xfId="0" applyFont="1" applyBorder="1" applyAlignment="1">
      <alignment horizontal="center" vertical="center"/>
    </xf>
    <xf numFmtId="4" fontId="2" fillId="0" borderId="0" xfId="0" applyNumberFormat="1" applyFont="1" applyFill="1" applyBorder="1" applyAlignment="1">
      <alignment horizontal="center"/>
    </xf>
    <xf numFmtId="0" fontId="21" fillId="8" borderId="1" xfId="0" applyFont="1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right" vertical="center"/>
    </xf>
    <xf numFmtId="0" fontId="20" fillId="38" borderId="1" xfId="0" applyFont="1" applyFill="1" applyBorder="1" applyAlignment="1">
      <alignment horizontal="center" vertical="center"/>
    </xf>
    <xf numFmtId="0" fontId="2" fillId="38" borderId="1" xfId="0" applyFont="1" applyFill="1" applyBorder="1" applyAlignment="1">
      <alignment horizontal="center"/>
    </xf>
    <xf numFmtId="1" fontId="13" fillId="46" borderId="1" xfId="0" applyNumberFormat="1" applyFont="1" applyFill="1" applyBorder="1"/>
    <xf numFmtId="0" fontId="20" fillId="38" borderId="1" xfId="0" applyFont="1" applyFill="1" applyBorder="1" applyAlignment="1">
      <alignment horizontal="center" vertical="center"/>
    </xf>
    <xf numFmtId="0" fontId="2" fillId="38" borderId="1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right"/>
    </xf>
    <xf numFmtId="2" fontId="2" fillId="0" borderId="0" xfId="0" applyNumberFormat="1" applyFont="1" applyFill="1" applyBorder="1"/>
    <xf numFmtId="0" fontId="20" fillId="52" borderId="1" xfId="0" applyFont="1" applyFill="1" applyBorder="1" applyAlignment="1">
      <alignment horizontal="center" vertical="center"/>
    </xf>
    <xf numFmtId="0" fontId="20" fillId="52" borderId="1" xfId="0" applyFont="1" applyFill="1" applyBorder="1" applyAlignment="1">
      <alignment horizontal="center"/>
    </xf>
    <xf numFmtId="0" fontId="21" fillId="52" borderId="1" xfId="0" applyFont="1" applyFill="1" applyBorder="1"/>
    <xf numFmtId="0" fontId="21" fillId="52" borderId="1" xfId="0" applyFont="1" applyFill="1" applyBorder="1" applyAlignment="1">
      <alignment horizontal="center"/>
    </xf>
    <xf numFmtId="0" fontId="16" fillId="17" borderId="0" xfId="0" applyFont="1" applyFill="1"/>
    <xf numFmtId="0" fontId="14" fillId="17" borderId="0" xfId="0" applyFont="1" applyFill="1"/>
    <xf numFmtId="0" fontId="40" fillId="0" borderId="0" xfId="0" applyFont="1" applyFill="1" applyAlignment="1"/>
    <xf numFmtId="180" fontId="0" fillId="0" borderId="1" xfId="0" applyNumberFormat="1" applyBorder="1" applyAlignment="1">
      <alignment horizontal="right" vertical="center"/>
    </xf>
    <xf numFmtId="3" fontId="2" fillId="3" borderId="1" xfId="1" applyNumberFormat="1" applyFont="1" applyFill="1" applyBorder="1" applyAlignment="1">
      <alignment horizontal="right" vertical="center"/>
    </xf>
    <xf numFmtId="3" fontId="4" fillId="21" borderId="1" xfId="1" applyNumberFormat="1" applyFont="1" applyFill="1" applyBorder="1" applyAlignment="1">
      <alignment horizontal="right"/>
    </xf>
    <xf numFmtId="3" fontId="4" fillId="21" borderId="1" xfId="1" applyNumberFormat="1" applyFont="1" applyFill="1" applyBorder="1" applyAlignment="1">
      <alignment horizontal="center"/>
    </xf>
    <xf numFmtId="186" fontId="13" fillId="0" borderId="1" xfId="0" applyNumberFormat="1" applyFont="1" applyFill="1" applyBorder="1" applyAlignment="1">
      <alignment horizontal="center" vertical="center"/>
    </xf>
    <xf numFmtId="3" fontId="13" fillId="48" borderId="1" xfId="1" applyNumberFormat="1" applyFont="1" applyFill="1" applyBorder="1" applyAlignment="1">
      <alignment horizontal="center"/>
    </xf>
    <xf numFmtId="0" fontId="17" fillId="0" borderId="7" xfId="0" applyFont="1" applyFill="1" applyBorder="1" applyAlignment="1">
      <alignment horizontal="left"/>
    </xf>
    <xf numFmtId="0" fontId="17" fillId="0" borderId="8" xfId="0" applyFont="1" applyFill="1" applyBorder="1" applyAlignment="1">
      <alignment horizontal="left"/>
    </xf>
    <xf numFmtId="0" fontId="17" fillId="0" borderId="6" xfId="0" applyFont="1" applyFill="1" applyBorder="1" applyAlignment="1">
      <alignment horizontal="left"/>
    </xf>
    <xf numFmtId="2" fontId="2" fillId="0" borderId="0" xfId="0" applyNumberFormat="1" applyFont="1" applyFill="1" applyAlignment="1">
      <alignment horizontal="center"/>
    </xf>
    <xf numFmtId="2" fontId="0" fillId="0" borderId="0" xfId="0" applyNumberFormat="1" applyFill="1"/>
    <xf numFmtId="0" fontId="38" fillId="48" borderId="1" xfId="0" applyFont="1" applyFill="1" applyBorder="1" applyAlignment="1">
      <alignment horizontal="center"/>
    </xf>
    <xf numFmtId="0" fontId="2" fillId="48" borderId="1" xfId="0" applyFont="1" applyFill="1" applyBorder="1" applyAlignment="1">
      <alignment horizontal="center"/>
    </xf>
    <xf numFmtId="3" fontId="17" fillId="48" borderId="1" xfId="1" applyNumberFormat="1" applyFont="1" applyFill="1" applyBorder="1" applyAlignment="1">
      <alignment horizontal="right"/>
    </xf>
    <xf numFmtId="9" fontId="36" fillId="21" borderId="1" xfId="0" applyNumberFormat="1" applyFont="1" applyFill="1" applyBorder="1" applyAlignment="1">
      <alignment horizontal="center"/>
    </xf>
    <xf numFmtId="201" fontId="4" fillId="0" borderId="1" xfId="0" applyNumberFormat="1" applyFont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/>
    </xf>
    <xf numFmtId="3" fontId="0" fillId="0" borderId="0" xfId="0" applyNumberForma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3" fontId="22" fillId="48" borderId="1" xfId="1" applyNumberFormat="1" applyFont="1" applyFill="1" applyBorder="1" applyAlignment="1">
      <alignment horizontal="right"/>
    </xf>
    <xf numFmtId="3" fontId="0" fillId="0" borderId="1" xfId="1" applyNumberFormat="1" applyFont="1" applyBorder="1" applyAlignment="1">
      <alignment horizontal="right"/>
    </xf>
    <xf numFmtId="37" fontId="2" fillId="20" borderId="1" xfId="0" applyNumberFormat="1" applyFont="1" applyFill="1" applyBorder="1" applyAlignment="1">
      <alignment horizontal="right"/>
    </xf>
    <xf numFmtId="37" fontId="0" fillId="0" borderId="1" xfId="1" applyNumberFormat="1" applyFont="1" applyBorder="1" applyAlignment="1">
      <alignment horizontal="right"/>
    </xf>
    <xf numFmtId="37" fontId="2" fillId="20" borderId="1" xfId="1" applyNumberFormat="1" applyFont="1" applyFill="1" applyBorder="1" applyAlignment="1">
      <alignment horizontal="right"/>
    </xf>
    <xf numFmtId="37" fontId="0" fillId="0" borderId="1" xfId="0" applyNumberFormat="1" applyFill="1" applyBorder="1" applyAlignment="1">
      <alignment horizontal="right" vertical="center"/>
    </xf>
    <xf numFmtId="9" fontId="0" fillId="34" borderId="1" xfId="0" applyNumberFormat="1" applyFill="1" applyBorder="1" applyAlignment="1">
      <alignment horizontal="center" vertical="center"/>
    </xf>
    <xf numFmtId="3" fontId="2" fillId="27" borderId="0" xfId="0" applyNumberFormat="1" applyFont="1" applyFill="1" applyAlignment="1">
      <alignment horizontal="center" vertical="center"/>
    </xf>
    <xf numFmtId="37" fontId="2" fillId="17" borderId="0" xfId="0" applyNumberFormat="1" applyFont="1" applyFill="1" applyAlignment="1">
      <alignment horizontal="center" vertical="center"/>
    </xf>
    <xf numFmtId="0" fontId="2" fillId="53" borderId="1" xfId="0" applyFont="1" applyFill="1" applyBorder="1" applyAlignment="1">
      <alignment horizontal="center"/>
    </xf>
    <xf numFmtId="2" fontId="2" fillId="8" borderId="0" xfId="0" applyNumberFormat="1" applyFont="1" applyFill="1" applyAlignment="1"/>
    <xf numFmtId="2" fontId="2" fillId="0" borderId="0" xfId="0" applyNumberFormat="1" applyFont="1" applyFill="1" applyAlignment="1"/>
    <xf numFmtId="4" fontId="2" fillId="4" borderId="0" xfId="0" applyNumberFormat="1" applyFont="1" applyFill="1"/>
    <xf numFmtId="169" fontId="2" fillId="54" borderId="0" xfId="1" applyFont="1" applyFill="1"/>
    <xf numFmtId="169" fontId="2" fillId="46" borderId="0" xfId="1" applyFont="1" applyFill="1"/>
    <xf numFmtId="1" fontId="2" fillId="46" borderId="0" xfId="0" applyNumberFormat="1" applyFont="1" applyFill="1" applyAlignment="1">
      <alignment horizontal="center"/>
    </xf>
    <xf numFmtId="2" fontId="2" fillId="17" borderId="0" xfId="0" applyNumberFormat="1" applyFont="1" applyFill="1"/>
    <xf numFmtId="2" fontId="2" fillId="17" borderId="0" xfId="0" applyNumberFormat="1" applyFont="1" applyFill="1" applyAlignment="1">
      <alignment horizontal="center"/>
    </xf>
    <xf numFmtId="2" fontId="2" fillId="45" borderId="0" xfId="0" applyNumberFormat="1" applyFont="1" applyFill="1"/>
    <xf numFmtId="2" fontId="2" fillId="45" borderId="0" xfId="0" applyNumberFormat="1" applyFont="1" applyFill="1" applyAlignment="1">
      <alignment horizontal="center"/>
    </xf>
    <xf numFmtId="4" fontId="2" fillId="5" borderId="0" xfId="0" applyNumberFormat="1" applyFont="1" applyFill="1" applyAlignment="1">
      <alignment horizontal="center"/>
    </xf>
    <xf numFmtId="37" fontId="2" fillId="15" borderId="0" xfId="0" applyNumberFormat="1" applyFont="1" applyFill="1" applyAlignment="1">
      <alignment vertical="top"/>
    </xf>
    <xf numFmtId="37" fontId="2" fillId="0" borderId="0" xfId="0" applyNumberFormat="1" applyFont="1" applyFill="1" applyAlignment="1">
      <alignment vertical="top"/>
    </xf>
    <xf numFmtId="3" fontId="2" fillId="17" borderId="0" xfId="0" applyNumberFormat="1" applyFont="1" applyFill="1"/>
    <xf numFmtId="168" fontId="2" fillId="15" borderId="0" xfId="0" applyNumberFormat="1" applyFont="1" applyFill="1" applyAlignment="1"/>
    <xf numFmtId="3" fontId="2" fillId="27" borderId="0" xfId="0" applyNumberFormat="1" applyFont="1" applyFill="1" applyAlignment="1"/>
    <xf numFmtId="0" fontId="2" fillId="8" borderId="0" xfId="0" applyFont="1" applyFill="1" applyAlignment="1"/>
    <xf numFmtId="1" fontId="2" fillId="54" borderId="0" xfId="0" applyNumberFormat="1" applyFont="1" applyFill="1" applyAlignment="1"/>
    <xf numFmtId="4" fontId="2" fillId="54" borderId="0" xfId="0" applyNumberFormat="1" applyFont="1" applyFill="1" applyAlignment="1"/>
    <xf numFmtId="9" fontId="0" fillId="33" borderId="1" xfId="0" applyNumberFormat="1" applyFill="1" applyBorder="1" applyAlignment="1">
      <alignment horizontal="center"/>
    </xf>
    <xf numFmtId="186" fontId="0" fillId="0" borderId="7" xfId="0" applyNumberFormat="1" applyBorder="1" applyAlignment="1">
      <alignment horizontal="center"/>
    </xf>
    <xf numFmtId="0" fontId="36" fillId="0" borderId="1" xfId="0" applyNumberFormat="1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/>
    </xf>
    <xf numFmtId="185" fontId="2" fillId="4" borderId="1" xfId="0" applyNumberFormat="1" applyFont="1" applyFill="1" applyBorder="1" applyAlignment="1">
      <alignment horizontal="right" vertical="center"/>
    </xf>
    <xf numFmtId="0" fontId="6" fillId="0" borderId="0" xfId="0" applyFont="1" applyBorder="1" applyAlignment="1">
      <alignment horizontal="right"/>
    </xf>
    <xf numFmtId="3" fontId="6" fillId="0" borderId="0" xfId="1" applyNumberFormat="1" applyFont="1" applyBorder="1" applyAlignment="1"/>
    <xf numFmtId="1" fontId="8" fillId="0" borderId="0" xfId="0" applyNumberFormat="1" applyFont="1" applyBorder="1" applyAlignment="1">
      <alignment horizontal="right"/>
    </xf>
    <xf numFmtId="1" fontId="8" fillId="0" borderId="0" xfId="0" applyNumberFormat="1" applyFont="1" applyFill="1" applyBorder="1" applyAlignment="1">
      <alignment horizontal="right"/>
    </xf>
    <xf numFmtId="3" fontId="8" fillId="0" borderId="0" xfId="0" applyNumberFormat="1" applyFont="1" applyFill="1" applyBorder="1" applyAlignment="1"/>
    <xf numFmtId="3" fontId="2" fillId="0" borderId="0" xfId="1" applyNumberFormat="1" applyFont="1" applyFill="1" applyBorder="1" applyAlignment="1">
      <alignment horizontal="right"/>
    </xf>
    <xf numFmtId="37" fontId="2" fillId="0" borderId="0" xfId="1" applyNumberFormat="1" applyFont="1" applyFill="1" applyBorder="1" applyAlignment="1">
      <alignment horizontal="right" vertical="center"/>
    </xf>
    <xf numFmtId="0" fontId="36" fillId="0" borderId="0" xfId="0" applyFont="1" applyFill="1" applyBorder="1" applyAlignment="1">
      <alignment horizontal="left"/>
    </xf>
    <xf numFmtId="0" fontId="0" fillId="0" borderId="1" xfId="0" applyNumberFormat="1" applyFill="1" applyBorder="1" applyAlignment="1">
      <alignment horizontal="center" vertical="center"/>
    </xf>
    <xf numFmtId="179" fontId="4" fillId="0" borderId="1" xfId="0" applyNumberFormat="1" applyFont="1" applyFill="1" applyBorder="1" applyAlignment="1">
      <alignment horizontal="right"/>
    </xf>
    <xf numFmtId="1" fontId="0" fillId="0" borderId="1" xfId="0" applyNumberForma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right"/>
    </xf>
    <xf numFmtId="4" fontId="33" fillId="0" borderId="1" xfId="1" applyNumberFormat="1" applyFont="1" applyFill="1" applyBorder="1" applyAlignment="1">
      <alignment horizontal="right"/>
    </xf>
    <xf numFmtId="0" fontId="36" fillId="0" borderId="1" xfId="0" applyNumberFormat="1" applyFont="1" applyBorder="1" applyAlignment="1">
      <alignment horizontal="center"/>
    </xf>
    <xf numFmtId="169" fontId="20" fillId="0" borderId="0" xfId="1" applyFont="1" applyFill="1" applyBorder="1" applyAlignment="1">
      <alignment horizontal="center"/>
    </xf>
    <xf numFmtId="37" fontId="2" fillId="0" borderId="0" xfId="1" applyNumberFormat="1" applyFont="1" applyFill="1" applyBorder="1" applyAlignment="1">
      <alignment horizontal="center"/>
    </xf>
    <xf numFmtId="3" fontId="2" fillId="0" borderId="0" xfId="1" applyNumberFormat="1" applyFont="1" applyFill="1" applyBorder="1" applyAlignment="1"/>
    <xf numFmtId="2" fontId="2" fillId="0" borderId="0" xfId="0" applyNumberFormat="1" applyFont="1" applyFill="1" applyBorder="1" applyAlignment="1">
      <alignment horizontal="right"/>
    </xf>
    <xf numFmtId="185" fontId="2" fillId="0" borderId="0" xfId="0" applyNumberFormat="1" applyFont="1" applyFill="1" applyBorder="1" applyAlignment="1">
      <alignment horizontal="right" vertical="center"/>
    </xf>
    <xf numFmtId="1" fontId="23" fillId="48" borderId="1" xfId="0" applyNumberFormat="1" applyFont="1" applyFill="1" applyBorder="1" applyAlignment="1">
      <alignment horizontal="right"/>
    </xf>
    <xf numFmtId="3" fontId="23" fillId="48" borderId="1" xfId="0" applyNumberFormat="1" applyFont="1" applyFill="1" applyBorder="1" applyAlignment="1">
      <alignment horizontal="right"/>
    </xf>
    <xf numFmtId="15" fontId="2" fillId="21" borderId="0" xfId="0" applyNumberFormat="1" applyFont="1" applyFill="1" applyAlignment="1">
      <alignment horizontal="center"/>
    </xf>
    <xf numFmtId="1" fontId="0" fillId="0" borderId="0" xfId="0" applyNumberFormat="1"/>
    <xf numFmtId="4" fontId="0" fillId="0" borderId="0" xfId="0" applyNumberFormat="1"/>
    <xf numFmtId="9" fontId="4" fillId="0" borderId="1" xfId="0" applyNumberFormat="1" applyFont="1" applyFill="1" applyBorder="1" applyAlignment="1">
      <alignment horizontal="center"/>
    </xf>
    <xf numFmtId="3" fontId="33" fillId="0" borderId="1" xfId="1" applyNumberFormat="1" applyFont="1" applyFill="1" applyBorder="1" applyAlignment="1">
      <alignment horizontal="right"/>
    </xf>
    <xf numFmtId="0" fontId="20" fillId="21" borderId="1" xfId="0" applyFont="1" applyFill="1" applyBorder="1" applyAlignment="1">
      <alignment vertical="center"/>
    </xf>
    <xf numFmtId="186" fontId="2" fillId="21" borderId="1" xfId="0" applyNumberFormat="1" applyFont="1" applyFill="1" applyBorder="1" applyAlignment="1">
      <alignment horizontal="center"/>
    </xf>
    <xf numFmtId="3" fontId="17" fillId="21" borderId="1" xfId="1" applyNumberFormat="1" applyFont="1" applyFill="1" applyBorder="1" applyAlignment="1">
      <alignment horizontal="right"/>
    </xf>
    <xf numFmtId="9" fontId="4" fillId="21" borderId="1" xfId="0" applyNumberFormat="1" applyFont="1" applyFill="1" applyBorder="1" applyAlignment="1">
      <alignment horizontal="center"/>
    </xf>
    <xf numFmtId="9" fontId="4" fillId="21" borderId="1" xfId="0" applyNumberFormat="1" applyFont="1" applyFill="1" applyBorder="1" applyAlignment="1">
      <alignment horizontal="center" vertical="center"/>
    </xf>
    <xf numFmtId="9" fontId="0" fillId="21" borderId="1" xfId="0" applyNumberFormat="1" applyFill="1" applyBorder="1" applyAlignment="1">
      <alignment horizontal="center" vertical="center"/>
    </xf>
    <xf numFmtId="9" fontId="36" fillId="21" borderId="1" xfId="0" applyNumberFormat="1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186" fontId="0" fillId="21" borderId="1" xfId="0" applyNumberFormat="1" applyFill="1" applyBorder="1" applyAlignment="1">
      <alignment horizontal="center" vertical="center"/>
    </xf>
    <xf numFmtId="3" fontId="13" fillId="21" borderId="1" xfId="1" applyNumberFormat="1" applyFont="1" applyFill="1" applyBorder="1" applyAlignment="1">
      <alignment horizontal="center"/>
    </xf>
    <xf numFmtId="9" fontId="0" fillId="0" borderId="1" xfId="0" applyNumberFormat="1" applyFill="1" applyBorder="1" applyAlignment="1">
      <alignment horizontal="right"/>
    </xf>
    <xf numFmtId="169" fontId="13" fillId="21" borderId="1" xfId="1" applyFont="1" applyFill="1" applyBorder="1" applyAlignment="1">
      <alignment horizontal="center"/>
    </xf>
    <xf numFmtId="9" fontId="1" fillId="0" borderId="1" xfId="0" applyNumberFormat="1" applyFont="1" applyFill="1" applyBorder="1" applyAlignment="1">
      <alignment horizontal="center"/>
    </xf>
    <xf numFmtId="186" fontId="13" fillId="33" borderId="1" xfId="0" applyNumberFormat="1" applyFont="1" applyFill="1" applyBorder="1" applyAlignment="1">
      <alignment horizontal="center" vertical="center"/>
    </xf>
    <xf numFmtId="3" fontId="24" fillId="33" borderId="1" xfId="1" applyNumberFormat="1" applyFont="1" applyFill="1" applyBorder="1" applyAlignment="1">
      <alignment horizontal="right"/>
    </xf>
    <xf numFmtId="3" fontId="4" fillId="33" borderId="1" xfId="1" applyNumberFormat="1" applyFont="1" applyFill="1" applyBorder="1" applyAlignment="1">
      <alignment horizontal="right" vertical="center"/>
    </xf>
    <xf numFmtId="9" fontId="1" fillId="33" borderId="1" xfId="0" applyNumberFormat="1" applyFont="1" applyFill="1" applyBorder="1" applyAlignment="1">
      <alignment horizontal="center"/>
    </xf>
    <xf numFmtId="3" fontId="13" fillId="21" borderId="1" xfId="1" applyNumberFormat="1" applyFont="1" applyFill="1" applyBorder="1" applyAlignment="1">
      <alignment horizontal="right"/>
    </xf>
    <xf numFmtId="9" fontId="34" fillId="21" borderId="1" xfId="1" applyNumberFormat="1" applyFont="1" applyFill="1" applyBorder="1" applyAlignment="1">
      <alignment horizontal="center"/>
    </xf>
    <xf numFmtId="3" fontId="22" fillId="21" borderId="1" xfId="1" applyNumberFormat="1" applyFont="1" applyFill="1" applyBorder="1" applyAlignment="1">
      <alignment horizontal="right"/>
    </xf>
    <xf numFmtId="0" fontId="4" fillId="48" borderId="1" xfId="0" applyFont="1" applyFill="1" applyBorder="1" applyAlignment="1">
      <alignment horizontal="right"/>
    </xf>
    <xf numFmtId="0" fontId="37" fillId="48" borderId="1" xfId="0" applyFont="1" applyFill="1" applyBorder="1" applyAlignment="1">
      <alignment horizontal="right"/>
    </xf>
    <xf numFmtId="0" fontId="0" fillId="19" borderId="1" xfId="0" applyFill="1" applyBorder="1" applyAlignment="1">
      <alignment horizontal="right"/>
    </xf>
    <xf numFmtId="1" fontId="0" fillId="19" borderId="1" xfId="0" applyNumberFormat="1" applyFill="1" applyBorder="1" applyAlignment="1">
      <alignment horizontal="right"/>
    </xf>
    <xf numFmtId="179" fontId="0" fillId="19" borderId="1" xfId="0" applyNumberFormat="1" applyFill="1" applyBorder="1" applyAlignment="1">
      <alignment horizontal="right"/>
    </xf>
    <xf numFmtId="3" fontId="0" fillId="19" borderId="1" xfId="0" applyNumberFormat="1" applyFill="1" applyBorder="1" applyAlignment="1"/>
    <xf numFmtId="3" fontId="0" fillId="19" borderId="1" xfId="0" applyNumberFormat="1" applyFill="1" applyBorder="1" applyAlignment="1">
      <alignment horizontal="right"/>
    </xf>
    <xf numFmtId="186" fontId="0" fillId="19" borderId="1" xfId="0" applyNumberFormat="1" applyFill="1" applyBorder="1" applyAlignment="1">
      <alignment horizontal="center"/>
    </xf>
    <xf numFmtId="0" fontId="0" fillId="19" borderId="1" xfId="0" applyNumberFormat="1" applyFill="1" applyBorder="1" applyAlignment="1">
      <alignment horizontal="center"/>
    </xf>
    <xf numFmtId="204" fontId="4" fillId="0" borderId="1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0" fillId="0" borderId="1" xfId="0" applyNumberFormat="1" applyBorder="1" applyAlignment="1">
      <alignment horizontal="right"/>
    </xf>
    <xf numFmtId="2" fontId="2" fillId="20" borderId="1" xfId="0" applyNumberFormat="1" applyFont="1" applyFill="1" applyBorder="1" applyAlignment="1">
      <alignment horizontal="right"/>
    </xf>
    <xf numFmtId="205" fontId="3" fillId="33" borderId="0" xfId="0" applyNumberFormat="1" applyFont="1" applyFill="1" applyAlignment="1">
      <alignment horizontal="center"/>
    </xf>
    <xf numFmtId="15" fontId="2" fillId="0" borderId="0" xfId="0" applyNumberFormat="1" applyFont="1" applyFill="1" applyAlignment="1">
      <alignment horizontal="center"/>
    </xf>
    <xf numFmtId="15" fontId="3" fillId="33" borderId="0" xfId="0" applyNumberFormat="1" applyFont="1" applyFill="1" applyAlignment="1">
      <alignment horizontal="center"/>
    </xf>
    <xf numFmtId="15" fontId="3" fillId="21" borderId="0" xfId="0" applyNumberFormat="1" applyFont="1" applyFill="1" applyAlignment="1">
      <alignment horizontal="center"/>
    </xf>
    <xf numFmtId="0" fontId="4" fillId="0" borderId="0" xfId="0" applyFont="1" applyFill="1" applyBorder="1" applyAlignment="1"/>
    <xf numFmtId="0" fontId="36" fillId="0" borderId="0" xfId="0" applyFont="1" applyFill="1" applyAlignment="1">
      <alignment horizontal="left"/>
    </xf>
    <xf numFmtId="0" fontId="39" fillId="0" borderId="1" xfId="0" applyFont="1" applyFill="1" applyBorder="1" applyAlignment="1">
      <alignment horizontal="center"/>
    </xf>
    <xf numFmtId="169" fontId="0" fillId="0" borderId="1" xfId="0" applyNumberFormat="1" applyBorder="1" applyAlignment="1">
      <alignment horizontal="right"/>
    </xf>
    <xf numFmtId="180" fontId="20" fillId="3" borderId="1" xfId="1" applyNumberFormat="1" applyFont="1" applyFill="1" applyBorder="1" applyAlignment="1">
      <alignment vertical="center"/>
    </xf>
    <xf numFmtId="3" fontId="0" fillId="0" borderId="0" xfId="0" applyNumberFormat="1" applyFill="1" applyBorder="1" applyAlignment="1">
      <alignment horizontal="right"/>
    </xf>
    <xf numFmtId="39" fontId="2" fillId="0" borderId="0" xfId="0" applyNumberFormat="1" applyFont="1" applyFill="1" applyBorder="1" applyAlignment="1">
      <alignment horizontal="right" vertical="center"/>
    </xf>
    <xf numFmtId="180" fontId="0" fillId="0" borderId="1" xfId="0" applyNumberFormat="1" applyFill="1" applyBorder="1" applyAlignment="1">
      <alignment horizontal="right" vertical="center"/>
    </xf>
    <xf numFmtId="180" fontId="0" fillId="19" borderId="1" xfId="0" applyNumberFormat="1" applyFill="1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/>
    </xf>
    <xf numFmtId="1" fontId="2" fillId="3" borderId="1" xfId="1" applyNumberFormat="1" applyFont="1" applyFill="1" applyBorder="1" applyAlignment="1">
      <alignment horizontal="right" vertical="center"/>
    </xf>
    <xf numFmtId="3" fontId="6" fillId="0" borderId="1" xfId="0" applyNumberFormat="1" applyFont="1" applyBorder="1" applyAlignment="1">
      <alignment horizontal="right"/>
    </xf>
    <xf numFmtId="3" fontId="8" fillId="0" borderId="1" xfId="0" applyNumberFormat="1" applyFont="1" applyBorder="1" applyAlignment="1">
      <alignment horizontal="right"/>
    </xf>
    <xf numFmtId="0" fontId="0" fillId="47" borderId="1" xfId="0" applyFill="1" applyBorder="1" applyAlignment="1">
      <alignment horizontal="right"/>
    </xf>
    <xf numFmtId="0" fontId="0" fillId="0" borderId="7" xfId="0" applyBorder="1" applyAlignment="1"/>
    <xf numFmtId="0" fontId="0" fillId="0" borderId="8" xfId="0" applyBorder="1" applyAlignment="1"/>
    <xf numFmtId="0" fontId="13" fillId="0" borderId="1" xfId="0" applyFont="1" applyBorder="1" applyAlignment="1">
      <alignment vertical="center"/>
    </xf>
    <xf numFmtId="186" fontId="0" fillId="0" borderId="1" xfId="0" applyNumberFormat="1" applyBorder="1" applyAlignment="1">
      <alignment horizontal="center" vertical="center"/>
    </xf>
    <xf numFmtId="0" fontId="15" fillId="0" borderId="7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27" fillId="0" borderId="7" xfId="0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0" fontId="27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37" fontId="2" fillId="16" borderId="7" xfId="1" applyNumberFormat="1" applyFont="1" applyFill="1" applyBorder="1" applyAlignment="1">
      <alignment horizontal="center"/>
    </xf>
    <xf numFmtId="37" fontId="2" fillId="16" borderId="8" xfId="1" applyNumberFormat="1" applyFont="1" applyFill="1" applyBorder="1" applyAlignment="1">
      <alignment horizontal="center"/>
    </xf>
    <xf numFmtId="37" fontId="2" fillId="16" borderId="6" xfId="1" applyNumberFormat="1" applyFont="1" applyFill="1" applyBorder="1" applyAlignment="1">
      <alignment horizontal="center"/>
    </xf>
    <xf numFmtId="176" fontId="2" fillId="4" borderId="7" xfId="2" applyFont="1" applyFill="1" applyBorder="1" applyAlignment="1">
      <alignment horizontal="left"/>
    </xf>
    <xf numFmtId="176" fontId="2" fillId="4" borderId="8" xfId="2" applyFont="1" applyFill="1" applyBorder="1" applyAlignment="1">
      <alignment horizontal="left"/>
    </xf>
    <xf numFmtId="176" fontId="2" fillId="4" borderId="6" xfId="2" applyFont="1" applyFill="1" applyBorder="1" applyAlignment="1">
      <alignment horizontal="left"/>
    </xf>
    <xf numFmtId="184" fontId="2" fillId="8" borderId="0" xfId="0" applyNumberFormat="1" applyFont="1" applyFill="1" applyAlignment="1">
      <alignment horizontal="left"/>
    </xf>
    <xf numFmtId="3" fontId="2" fillId="16" borderId="0" xfId="0" applyNumberFormat="1" applyFont="1" applyFill="1" applyAlignment="1">
      <alignment horizontal="center"/>
    </xf>
    <xf numFmtId="0" fontId="2" fillId="8" borderId="0" xfId="0" applyFont="1" applyFill="1" applyAlignment="1">
      <alignment horizontal="left"/>
    </xf>
    <xf numFmtId="0" fontId="2" fillId="0" borderId="7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17" fillId="0" borderId="7" xfId="0" applyFont="1" applyFill="1" applyBorder="1" applyAlignment="1">
      <alignment horizontal="center"/>
    </xf>
    <xf numFmtId="0" fontId="17" fillId="0" borderId="6" xfId="0" applyFont="1" applyFill="1" applyBorder="1" applyAlignment="1">
      <alignment horizontal="center"/>
    </xf>
    <xf numFmtId="0" fontId="17" fillId="0" borderId="7" xfId="0" applyFont="1" applyFill="1" applyBorder="1" applyAlignment="1">
      <alignment horizontal="left"/>
    </xf>
    <xf numFmtId="0" fontId="17" fillId="0" borderId="8" xfId="0" applyFont="1" applyFill="1" applyBorder="1" applyAlignment="1">
      <alignment horizontal="left"/>
    </xf>
    <xf numFmtId="0" fontId="17" fillId="0" borderId="6" xfId="0" applyFont="1" applyFill="1" applyBorder="1" applyAlignment="1">
      <alignment horizontal="left"/>
    </xf>
    <xf numFmtId="0" fontId="17" fillId="29" borderId="7" xfId="0" applyFont="1" applyFill="1" applyBorder="1" applyAlignment="1">
      <alignment horizontal="left"/>
    </xf>
    <xf numFmtId="0" fontId="17" fillId="29" borderId="8" xfId="0" applyFont="1" applyFill="1" applyBorder="1" applyAlignment="1">
      <alignment horizontal="left"/>
    </xf>
    <xf numFmtId="0" fontId="17" fillId="29" borderId="6" xfId="0" applyFont="1" applyFill="1" applyBorder="1" applyAlignment="1">
      <alignment horizontal="left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7" fillId="29" borderId="7" xfId="0" applyFont="1" applyFill="1" applyBorder="1" applyAlignment="1">
      <alignment horizontal="center"/>
    </xf>
    <xf numFmtId="0" fontId="17" fillId="29" borderId="6" xfId="0" applyFont="1" applyFill="1" applyBorder="1" applyAlignment="1">
      <alignment horizontal="center"/>
    </xf>
    <xf numFmtId="186" fontId="2" fillId="0" borderId="3" xfId="0" applyNumberFormat="1" applyFont="1" applyBorder="1" applyAlignment="1">
      <alignment horizontal="center" vertical="center"/>
    </xf>
    <xf numFmtId="186" fontId="2" fillId="0" borderId="4" xfId="0" applyNumberFormat="1" applyFont="1" applyBorder="1" applyAlignment="1">
      <alignment horizontal="center" vertical="center"/>
    </xf>
    <xf numFmtId="169" fontId="20" fillId="16" borderId="7" xfId="1" applyFont="1" applyFill="1" applyBorder="1" applyAlignment="1">
      <alignment horizontal="center"/>
    </xf>
    <xf numFmtId="169" fontId="20" fillId="16" borderId="6" xfId="1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3" fontId="2" fillId="16" borderId="7" xfId="1" applyNumberFormat="1" applyFont="1" applyFill="1" applyBorder="1" applyAlignment="1">
      <alignment horizontal="center"/>
    </xf>
    <xf numFmtId="3" fontId="2" fillId="16" borderId="8" xfId="1" applyNumberFormat="1" applyFont="1" applyFill="1" applyBorder="1" applyAlignment="1">
      <alignment horizontal="center"/>
    </xf>
    <xf numFmtId="3" fontId="2" fillId="16" borderId="6" xfId="1" applyNumberFormat="1" applyFont="1" applyFill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2" fillId="13" borderId="0" xfId="0" applyFont="1" applyFill="1" applyAlignment="1">
      <alignment horizontal="left"/>
    </xf>
    <xf numFmtId="3" fontId="2" fillId="46" borderId="0" xfId="0" applyNumberFormat="1" applyFont="1" applyFill="1" applyAlignment="1">
      <alignment horizontal="left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2" fillId="6" borderId="0" xfId="0" applyFont="1" applyFill="1" applyAlignment="1">
      <alignment horizontal="left"/>
    </xf>
    <xf numFmtId="0" fontId="2" fillId="16" borderId="0" xfId="0" applyFont="1" applyFill="1" applyAlignment="1">
      <alignment horizontal="left"/>
    </xf>
    <xf numFmtId="0" fontId="2" fillId="15" borderId="0" xfId="0" applyFont="1" applyFill="1" applyAlignment="1">
      <alignment horizontal="left"/>
    </xf>
    <xf numFmtId="168" fontId="2" fillId="15" borderId="0" xfId="0" applyNumberFormat="1" applyFont="1" applyFill="1" applyAlignment="1">
      <alignment horizontal="center"/>
    </xf>
    <xf numFmtId="3" fontId="2" fillId="6" borderId="0" xfId="0" applyNumberFormat="1" applyFont="1" applyFill="1" applyAlignment="1">
      <alignment horizontal="left"/>
    </xf>
    <xf numFmtId="0" fontId="32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37" fontId="2" fillId="16" borderId="1" xfId="1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86" fontId="0" fillId="0" borderId="3" xfId="0" applyNumberFormat="1" applyBorder="1" applyAlignment="1">
      <alignment horizontal="center" vertical="center"/>
    </xf>
    <xf numFmtId="186" fontId="0" fillId="0" borderId="4" xfId="0" applyNumberFormat="1" applyBorder="1" applyAlignment="1">
      <alignment horizontal="center" vertical="center"/>
    </xf>
    <xf numFmtId="186" fontId="4" fillId="0" borderId="3" xfId="0" applyNumberFormat="1" applyFont="1" applyBorder="1" applyAlignment="1">
      <alignment horizontal="center" vertical="center"/>
    </xf>
    <xf numFmtId="0" fontId="0" fillId="0" borderId="4" xfId="0" applyBorder="1"/>
    <xf numFmtId="0" fontId="0" fillId="0" borderId="8" xfId="0" applyBorder="1"/>
    <xf numFmtId="0" fontId="0" fillId="0" borderId="6" xfId="0" applyBorder="1"/>
    <xf numFmtId="0" fontId="0" fillId="3" borderId="7" xfId="0" applyFill="1" applyBorder="1" applyAlignment="1">
      <alignment horizontal="center"/>
    </xf>
    <xf numFmtId="0" fontId="2" fillId="15" borderId="0" xfId="0" applyFont="1" applyFill="1" applyAlignment="1">
      <alignment horizontal="center"/>
    </xf>
    <xf numFmtId="37" fontId="2" fillId="15" borderId="0" xfId="0" applyNumberFormat="1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17" borderId="0" xfId="0" applyFont="1" applyFill="1" applyAlignment="1">
      <alignment horizontal="center"/>
    </xf>
    <xf numFmtId="0" fontId="2" fillId="13" borderId="0" xfId="0" applyFont="1" applyFill="1" applyAlignment="1">
      <alignment horizontal="center"/>
    </xf>
    <xf numFmtId="3" fontId="2" fillId="13" borderId="0" xfId="0" applyNumberFormat="1" applyFont="1" applyFill="1" applyAlignment="1">
      <alignment vertical="center"/>
    </xf>
    <xf numFmtId="0" fontId="2" fillId="6" borderId="0" xfId="0" applyFont="1" applyFill="1" applyAlignment="1">
      <alignment horizontal="center"/>
    </xf>
    <xf numFmtId="0" fontId="27" fillId="0" borderId="0" xfId="0" applyFont="1" applyAlignment="1">
      <alignment horizontal="left" vertical="top"/>
    </xf>
    <xf numFmtId="0" fontId="41" fillId="0" borderId="7" xfId="0" applyFont="1" applyBorder="1" applyAlignment="1">
      <alignment horizontal="center"/>
    </xf>
    <xf numFmtId="0" fontId="41" fillId="0" borderId="8" xfId="0" applyFont="1" applyBorder="1" applyAlignment="1">
      <alignment horizontal="center"/>
    </xf>
    <xf numFmtId="0" fontId="41" fillId="0" borderId="6" xfId="0" applyFont="1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7" xfId="0" applyNumberFormat="1" applyBorder="1" applyAlignment="1">
      <alignment horizontal="center"/>
    </xf>
    <xf numFmtId="0" fontId="0" fillId="0" borderId="8" xfId="0" applyNumberFormat="1" applyBorder="1" applyAlignment="1">
      <alignment horizontal="center"/>
    </xf>
    <xf numFmtId="0" fontId="0" fillId="0" borderId="6" xfId="0" applyNumberFormat="1" applyBorder="1" applyAlignment="1">
      <alignment horizontal="center"/>
    </xf>
    <xf numFmtId="0" fontId="0" fillId="22" borderId="7" xfId="0" applyNumberFormat="1" applyFill="1" applyBorder="1" applyAlignment="1">
      <alignment horizontal="center"/>
    </xf>
    <xf numFmtId="0" fontId="0" fillId="22" borderId="8" xfId="0" applyNumberFormat="1" applyFill="1" applyBorder="1" applyAlignment="1">
      <alignment horizontal="center"/>
    </xf>
    <xf numFmtId="0" fontId="0" fillId="22" borderId="6" xfId="0" applyNumberFormat="1" applyFill="1" applyBorder="1" applyAlignment="1">
      <alignment horizontal="center"/>
    </xf>
    <xf numFmtId="0" fontId="32" fillId="0" borderId="2" xfId="0" applyFont="1" applyBorder="1" applyAlignment="1">
      <alignment horizontal="center" vertical="center"/>
    </xf>
    <xf numFmtId="168" fontId="2" fillId="15" borderId="0" xfId="0" applyNumberFormat="1" applyFont="1" applyFill="1" applyAlignment="1">
      <alignment horizontal="left"/>
    </xf>
    <xf numFmtId="0" fontId="2" fillId="7" borderId="0" xfId="0" applyFont="1" applyFill="1" applyAlignment="1">
      <alignment horizontal="left"/>
    </xf>
    <xf numFmtId="0" fontId="2" fillId="5" borderId="0" xfId="0" applyFont="1" applyFill="1" applyAlignment="1">
      <alignment horizontal="left"/>
    </xf>
    <xf numFmtId="0" fontId="3" fillId="0" borderId="1" xfId="0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3" borderId="8" xfId="0" applyNumberFormat="1" applyFill="1" applyBorder="1" applyAlignment="1">
      <alignment horizontal="center"/>
    </xf>
    <xf numFmtId="0" fontId="0" fillId="3" borderId="6" xfId="0" applyNumberFormat="1" applyFill="1" applyBorder="1" applyAlignment="1">
      <alignment horizontal="center"/>
    </xf>
    <xf numFmtId="0" fontId="2" fillId="9" borderId="0" xfId="0" applyFont="1" applyFill="1" applyAlignment="1">
      <alignment horizontal="left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0" fillId="3" borderId="7" xfId="0" applyNumberForma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6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/>
    </xf>
    <xf numFmtId="0" fontId="36" fillId="0" borderId="13" xfId="0" applyFont="1" applyFill="1" applyBorder="1" applyAlignment="1">
      <alignment horizontal="left"/>
    </xf>
    <xf numFmtId="0" fontId="36" fillId="0" borderId="0" xfId="0" applyFont="1" applyFill="1" applyAlignment="1">
      <alignment horizontal="left"/>
    </xf>
    <xf numFmtId="0" fontId="12" fillId="0" borderId="7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" fillId="0" borderId="0" xfId="0" applyFont="1" applyFill="1" applyAlignment="1">
      <alignment horizontal="left"/>
    </xf>
    <xf numFmtId="0" fontId="2" fillId="46" borderId="0" xfId="0" applyFont="1" applyFill="1" applyAlignment="1">
      <alignment horizontal="left"/>
    </xf>
    <xf numFmtId="0" fontId="23" fillId="0" borderId="1" xfId="0" applyFont="1" applyBorder="1" applyAlignment="1">
      <alignment horizontal="center"/>
    </xf>
    <xf numFmtId="0" fontId="2" fillId="17" borderId="0" xfId="0" applyFont="1" applyFill="1" applyAlignment="1">
      <alignment horizontal="left"/>
    </xf>
    <xf numFmtId="0" fontId="2" fillId="45" borderId="0" xfId="0" applyFont="1" applyFill="1" applyAlignment="1">
      <alignment horizontal="left"/>
    </xf>
    <xf numFmtId="0" fontId="2" fillId="27" borderId="0" xfId="0" applyFont="1" applyFill="1" applyAlignment="1"/>
    <xf numFmtId="2" fontId="2" fillId="45" borderId="0" xfId="0" applyNumberFormat="1" applyFont="1" applyFill="1" applyAlignment="1">
      <alignment horizontal="center"/>
    </xf>
    <xf numFmtId="0" fontId="2" fillId="54" borderId="0" xfId="0" applyFont="1" applyFill="1" applyAlignment="1">
      <alignment horizontal="left"/>
    </xf>
    <xf numFmtId="3" fontId="2" fillId="17" borderId="0" xfId="0" applyNumberFormat="1" applyFont="1" applyFill="1" applyAlignment="1">
      <alignment horizontal="center"/>
    </xf>
    <xf numFmtId="186" fontId="4" fillId="0" borderId="1" xfId="0" applyNumberFormat="1" applyFont="1" applyBorder="1" applyAlignment="1">
      <alignment horizontal="center" vertical="center"/>
    </xf>
    <xf numFmtId="4" fontId="2" fillId="5" borderId="0" xfId="0" applyNumberFormat="1" applyFont="1" applyFill="1" applyAlignment="1">
      <alignment horizontal="center"/>
    </xf>
    <xf numFmtId="3" fontId="2" fillId="27" borderId="0" xfId="0" applyNumberFormat="1" applyFont="1" applyFill="1" applyAlignment="1">
      <alignment horizontal="center"/>
    </xf>
    <xf numFmtId="0" fontId="2" fillId="27" borderId="0" xfId="0" applyFont="1" applyFill="1" applyAlignment="1">
      <alignment horizontal="center"/>
    </xf>
    <xf numFmtId="1" fontId="2" fillId="54" borderId="0" xfId="0" applyNumberFormat="1" applyFont="1" applyFill="1" applyAlignment="1">
      <alignment horizontal="center"/>
    </xf>
    <xf numFmtId="0" fontId="27" fillId="0" borderId="0" xfId="0" applyFont="1" applyAlignment="1">
      <alignment horizontal="center" vertical="center"/>
    </xf>
    <xf numFmtId="0" fontId="2" fillId="27" borderId="0" xfId="0" applyFont="1" applyFill="1" applyAlignment="1">
      <alignment horizontal="left"/>
    </xf>
    <xf numFmtId="0" fontId="2" fillId="21" borderId="11" xfId="0" applyFont="1" applyFill="1" applyBorder="1" applyAlignment="1">
      <alignment horizontal="left"/>
    </xf>
    <xf numFmtId="0" fontId="2" fillId="21" borderId="2" xfId="0" applyFont="1" applyFill="1" applyBorder="1" applyAlignment="1">
      <alignment horizontal="left"/>
    </xf>
    <xf numFmtId="0" fontId="2" fillId="21" borderId="12" xfId="0" applyFont="1" applyFill="1" applyBorder="1" applyAlignment="1">
      <alignment horizontal="left"/>
    </xf>
    <xf numFmtId="0" fontId="2" fillId="21" borderId="1" xfId="0" applyFont="1" applyFill="1" applyBorder="1" applyAlignment="1">
      <alignment horizontal="center"/>
    </xf>
    <xf numFmtId="0" fontId="36" fillId="21" borderId="1" xfId="0" applyFont="1" applyFill="1" applyBorder="1" applyAlignment="1">
      <alignment horizontal="left"/>
    </xf>
    <xf numFmtId="0" fontId="20" fillId="52" borderId="1" xfId="0" applyFont="1" applyFill="1" applyBorder="1" applyAlignment="1">
      <alignment horizontal="center" vertical="center"/>
    </xf>
    <xf numFmtId="0" fontId="20" fillId="52" borderId="1" xfId="0" applyFont="1" applyFill="1" applyBorder="1" applyAlignment="1">
      <alignment horizontal="left" vertical="center"/>
    </xf>
    <xf numFmtId="0" fontId="20" fillId="52" borderId="1" xfId="0" applyFont="1" applyFill="1" applyBorder="1" applyAlignment="1">
      <alignment horizontal="center"/>
    </xf>
    <xf numFmtId="0" fontId="2" fillId="38" borderId="1" xfId="0" applyFont="1" applyFill="1" applyBorder="1" applyAlignment="1">
      <alignment horizontal="left" vertical="center"/>
    </xf>
    <xf numFmtId="0" fontId="2" fillId="38" borderId="1" xfId="0" applyFont="1" applyFill="1" applyBorder="1" applyAlignment="1">
      <alignment horizontal="center"/>
    </xf>
    <xf numFmtId="0" fontId="40" fillId="21" borderId="13" xfId="0" applyFont="1" applyFill="1" applyBorder="1" applyAlignment="1">
      <alignment horizontal="center"/>
    </xf>
    <xf numFmtId="0" fontId="40" fillId="21" borderId="0" xfId="0" applyFont="1" applyFill="1" applyBorder="1" applyAlignment="1">
      <alignment horizontal="center"/>
    </xf>
    <xf numFmtId="0" fontId="20" fillId="27" borderId="1" xfId="0" applyFont="1" applyFill="1" applyBorder="1" applyAlignment="1">
      <alignment horizontal="center" vertical="center"/>
    </xf>
    <xf numFmtId="0" fontId="3" fillId="33" borderId="0" xfId="0" applyFont="1" applyFill="1" applyAlignment="1">
      <alignment horizontal="center"/>
    </xf>
    <xf numFmtId="0" fontId="20" fillId="40" borderId="1" xfId="0" applyFont="1" applyFill="1" applyBorder="1" applyAlignment="1">
      <alignment horizontal="center" vertical="center"/>
    </xf>
    <xf numFmtId="0" fontId="2" fillId="40" borderId="1" xfId="0" applyFont="1" applyFill="1" applyBorder="1" applyAlignment="1">
      <alignment horizontal="left" vertical="center"/>
    </xf>
    <xf numFmtId="0" fontId="2" fillId="40" borderId="1" xfId="0" applyFont="1" applyFill="1" applyBorder="1" applyAlignment="1">
      <alignment horizontal="center"/>
    </xf>
    <xf numFmtId="0" fontId="20" fillId="41" borderId="1" xfId="0" applyFont="1" applyFill="1" applyBorder="1" applyAlignment="1">
      <alignment horizontal="center" vertical="center"/>
    </xf>
    <xf numFmtId="0" fontId="20" fillId="49" borderId="1" xfId="0" applyFont="1" applyFill="1" applyBorder="1" applyAlignment="1">
      <alignment horizontal="center" vertical="center"/>
    </xf>
    <xf numFmtId="0" fontId="20" fillId="49" borderId="1" xfId="0" applyFont="1" applyFill="1" applyBorder="1" applyAlignment="1">
      <alignment horizontal="left" vertical="center"/>
    </xf>
    <xf numFmtId="0" fontId="20" fillId="49" borderId="1" xfId="0" applyFont="1" applyFill="1" applyBorder="1" applyAlignment="1">
      <alignment horizontal="center"/>
    </xf>
    <xf numFmtId="0" fontId="20" fillId="28" borderId="1" xfId="0" applyFont="1" applyFill="1" applyBorder="1" applyAlignment="1">
      <alignment horizontal="center" vertical="center"/>
    </xf>
    <xf numFmtId="0" fontId="20" fillId="38" borderId="1" xfId="0" applyFont="1" applyFill="1" applyBorder="1" applyAlignment="1">
      <alignment horizontal="center" vertical="center"/>
    </xf>
    <xf numFmtId="0" fontId="20" fillId="41" borderId="1" xfId="0" applyFont="1" applyFill="1" applyBorder="1" applyAlignment="1">
      <alignment horizontal="center"/>
    </xf>
    <xf numFmtId="0" fontId="2" fillId="28" borderId="1" xfId="0" applyFont="1" applyFill="1" applyBorder="1" applyAlignment="1">
      <alignment horizontal="center"/>
    </xf>
    <xf numFmtId="0" fontId="20" fillId="39" borderId="1" xfId="0" applyFont="1" applyFill="1" applyBorder="1" applyAlignment="1">
      <alignment horizontal="center" vertical="center"/>
    </xf>
    <xf numFmtId="0" fontId="20" fillId="41" borderId="1" xfId="0" applyFont="1" applyFill="1" applyBorder="1" applyAlignment="1">
      <alignment horizontal="left" vertical="center"/>
    </xf>
    <xf numFmtId="0" fontId="2" fillId="27" borderId="1" xfId="0" applyFont="1" applyFill="1" applyBorder="1" applyAlignment="1">
      <alignment horizontal="center"/>
    </xf>
    <xf numFmtId="0" fontId="2" fillId="28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/>
    </xf>
    <xf numFmtId="0" fontId="27" fillId="0" borderId="0" xfId="0" applyFont="1" applyBorder="1" applyAlignment="1">
      <alignment horizontal="center" vertical="center"/>
    </xf>
    <xf numFmtId="0" fontId="20" fillId="21" borderId="1" xfId="0" applyFont="1" applyFill="1" applyBorder="1" applyAlignment="1">
      <alignment horizontal="left" vertical="center"/>
    </xf>
    <xf numFmtId="0" fontId="20" fillId="21" borderId="1" xfId="0" applyFont="1" applyFill="1" applyBorder="1" applyAlignment="1">
      <alignment horizontal="center" vertical="center"/>
    </xf>
    <xf numFmtId="0" fontId="20" fillId="27" borderId="1" xfId="0" applyFont="1" applyFill="1" applyBorder="1" applyAlignment="1">
      <alignment horizontal="left" vertical="center"/>
    </xf>
    <xf numFmtId="0" fontId="2" fillId="39" borderId="1" xfId="0" applyFont="1" applyFill="1" applyBorder="1" applyAlignment="1">
      <alignment horizontal="center"/>
    </xf>
    <xf numFmtId="0" fontId="20" fillId="39" borderId="1" xfId="0" applyFont="1" applyFill="1" applyBorder="1" applyAlignment="1">
      <alignment horizontal="left" vertical="center"/>
    </xf>
    <xf numFmtId="0" fontId="20" fillId="45" borderId="1" xfId="0" applyFont="1" applyFill="1" applyBorder="1" applyAlignment="1">
      <alignment horizontal="center" vertical="center"/>
    </xf>
    <xf numFmtId="0" fontId="20" fillId="45" borderId="3" xfId="0" applyFont="1" applyFill="1" applyBorder="1" applyAlignment="1">
      <alignment horizontal="center" vertical="center"/>
    </xf>
    <xf numFmtId="0" fontId="20" fillId="45" borderId="4" xfId="0" applyFont="1" applyFill="1" applyBorder="1" applyAlignment="1">
      <alignment horizontal="center" vertical="center"/>
    </xf>
    <xf numFmtId="0" fontId="20" fillId="45" borderId="1" xfId="0" applyFont="1" applyFill="1" applyBorder="1" applyAlignment="1">
      <alignment horizontal="center"/>
    </xf>
    <xf numFmtId="3" fontId="3" fillId="0" borderId="7" xfId="0" applyNumberFormat="1" applyFont="1" applyFill="1" applyBorder="1" applyAlignment="1">
      <alignment horizontal="right"/>
    </xf>
    <xf numFmtId="3" fontId="3" fillId="0" borderId="6" xfId="0" applyNumberFormat="1" applyFont="1" applyFill="1" applyBorder="1" applyAlignment="1">
      <alignment horizontal="right"/>
    </xf>
    <xf numFmtId="3" fontId="3" fillId="21" borderId="7" xfId="0" applyNumberFormat="1" applyFont="1" applyFill="1" applyBorder="1" applyAlignment="1">
      <alignment horizontal="right"/>
    </xf>
    <xf numFmtId="3" fontId="3" fillId="21" borderId="6" xfId="0" applyNumberFormat="1" applyFont="1" applyFill="1" applyBorder="1" applyAlignment="1">
      <alignment horizontal="right"/>
    </xf>
    <xf numFmtId="0" fontId="3" fillId="21" borderId="7" xfId="2" applyNumberFormat="1" applyFont="1" applyFill="1" applyBorder="1" applyAlignment="1">
      <alignment horizontal="center"/>
    </xf>
    <xf numFmtId="0" fontId="3" fillId="21" borderId="8" xfId="2" applyNumberFormat="1" applyFont="1" applyFill="1" applyBorder="1" applyAlignment="1">
      <alignment horizontal="center"/>
    </xf>
    <xf numFmtId="0" fontId="3" fillId="21" borderId="6" xfId="2" applyNumberFormat="1" applyFont="1" applyFill="1" applyBorder="1" applyAlignment="1">
      <alignment horizontal="center"/>
    </xf>
    <xf numFmtId="0" fontId="3" fillId="33" borderId="1" xfId="0" applyFont="1" applyFill="1" applyBorder="1" applyAlignment="1">
      <alignment horizontal="center"/>
    </xf>
    <xf numFmtId="0" fontId="15" fillId="33" borderId="13" xfId="0" applyFont="1" applyFill="1" applyBorder="1" applyAlignment="1">
      <alignment horizontal="center"/>
    </xf>
    <xf numFmtId="0" fontId="15" fillId="33" borderId="0" xfId="0" applyFont="1" applyFill="1" applyBorder="1" applyAlignment="1">
      <alignment horizontal="center"/>
    </xf>
    <xf numFmtId="0" fontId="3" fillId="0" borderId="8" xfId="2" applyNumberFormat="1" applyFont="1" applyBorder="1" applyAlignment="1">
      <alignment horizontal="left"/>
    </xf>
    <xf numFmtId="0" fontId="4" fillId="0" borderId="8" xfId="0" applyFont="1" applyBorder="1" applyAlignment="1">
      <alignment horizontal="center"/>
    </xf>
    <xf numFmtId="3" fontId="3" fillId="0" borderId="1" xfId="0" applyNumberFormat="1" applyFont="1" applyFill="1" applyBorder="1" applyAlignment="1">
      <alignment horizontal="right"/>
    </xf>
    <xf numFmtId="3" fontId="3" fillId="21" borderId="1" xfId="0" applyNumberFormat="1" applyFont="1" applyFill="1" applyBorder="1" applyAlignment="1">
      <alignment horizontal="right"/>
    </xf>
    <xf numFmtId="0" fontId="3" fillId="21" borderId="1" xfId="0" applyFont="1" applyFill="1" applyBorder="1" applyAlignment="1">
      <alignment horizontal="right"/>
    </xf>
  </cellXfs>
  <cellStyles count="3">
    <cellStyle name="Comma [0]" xfId="1" builtinId="6"/>
    <cellStyle name="Currency [0]" xfId="2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37.2\data%20cholig\DATA%20CHOLIG\KONDISI%20PIUTANG\PIUTANG%20TOKO%20TAHUN%20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ea I "/>
      <sheetName val="Area 2"/>
      <sheetName val="Area 3"/>
      <sheetName val="Area 4"/>
      <sheetName val="Area 5"/>
      <sheetName val="Area 6"/>
      <sheetName val="Order"/>
      <sheetName val="Rekap"/>
      <sheetName val="T.Penjualan"/>
    </sheetNames>
    <sheetDataSet>
      <sheetData sheetId="0">
        <row r="12">
          <cell r="D12">
            <v>46071</v>
          </cell>
        </row>
        <row r="13">
          <cell r="D13">
            <v>46083</v>
          </cell>
        </row>
        <row r="14">
          <cell r="D14">
            <v>46093</v>
          </cell>
        </row>
        <row r="48">
          <cell r="D48">
            <v>46078</v>
          </cell>
        </row>
        <row r="49">
          <cell r="D49">
            <v>46094</v>
          </cell>
        </row>
      </sheetData>
      <sheetData sheetId="1">
        <row r="11">
          <cell r="D11">
            <v>46071</v>
          </cell>
        </row>
      </sheetData>
      <sheetData sheetId="2">
        <row r="11">
          <cell r="D11">
            <v>46063</v>
          </cell>
        </row>
        <row r="12">
          <cell r="D12">
            <v>46063</v>
          </cell>
        </row>
        <row r="13">
          <cell r="D13">
            <v>46065</v>
          </cell>
        </row>
        <row r="14">
          <cell r="D14">
            <v>46084</v>
          </cell>
        </row>
        <row r="15">
          <cell r="D15">
            <v>46084</v>
          </cell>
        </row>
        <row r="16">
          <cell r="D16">
            <v>46093</v>
          </cell>
        </row>
      </sheetData>
      <sheetData sheetId="3">
        <row r="40">
          <cell r="D40">
            <v>46080</v>
          </cell>
        </row>
        <row r="106">
          <cell r="D106">
            <v>46058</v>
          </cell>
        </row>
      </sheetData>
      <sheetData sheetId="4">
        <row r="11">
          <cell r="D11">
            <v>46078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43E70-821A-4907-90A9-3A895B7B2621}">
  <dimension ref="A1:O286"/>
  <sheetViews>
    <sheetView tabSelected="1" topLeftCell="A109" zoomScaleNormal="100" workbookViewId="0">
      <selection activeCell="P135" sqref="P135:P136"/>
    </sheetView>
  </sheetViews>
  <sheetFormatPr defaultRowHeight="12.75" x14ac:dyDescent="0.2"/>
  <cols>
    <col min="1" max="1" width="8.85546875" customWidth="1"/>
    <col min="2" max="2" width="8" style="123" customWidth="1"/>
    <col min="3" max="3" width="8.140625" customWidth="1"/>
    <col min="4" max="4" width="9.140625" customWidth="1"/>
    <col min="5" max="5" width="8" customWidth="1"/>
    <col min="6" max="6" width="6.85546875" customWidth="1"/>
    <col min="7" max="7" width="7.7109375" customWidth="1"/>
    <col min="8" max="8" width="14.140625" customWidth="1"/>
    <col min="9" max="9" width="7.85546875" customWidth="1"/>
    <col min="10" max="10" width="8.85546875" customWidth="1"/>
    <col min="11" max="11" width="9.140625" style="123" customWidth="1"/>
    <col min="12" max="12" width="9.5703125" customWidth="1"/>
    <col min="13" max="13" width="14" style="1" customWidth="1"/>
  </cols>
  <sheetData>
    <row r="1" spans="1:13" ht="18" x14ac:dyDescent="0.25">
      <c r="A1" s="788" t="s">
        <v>232</v>
      </c>
      <c r="B1" s="788"/>
      <c r="C1" s="788"/>
      <c r="D1" s="788"/>
      <c r="E1" s="788"/>
      <c r="F1" s="788"/>
      <c r="G1" s="788"/>
      <c r="H1" s="788"/>
      <c r="I1" s="788"/>
      <c r="J1" s="788"/>
      <c r="K1" s="788"/>
      <c r="L1" s="788"/>
    </row>
    <row r="2" spans="1:13" ht="26.25" x14ac:dyDescent="0.2">
      <c r="A2" s="794" t="s">
        <v>299</v>
      </c>
      <c r="B2" s="794"/>
      <c r="C2" s="794"/>
      <c r="D2" s="794"/>
      <c r="E2" s="794"/>
      <c r="F2" s="794"/>
      <c r="G2" s="794"/>
      <c r="H2" s="794"/>
      <c r="I2" s="794"/>
      <c r="J2" s="794"/>
      <c r="K2" s="794"/>
    </row>
    <row r="3" spans="1:13" ht="18" x14ac:dyDescent="0.25">
      <c r="A3" s="149" t="s">
        <v>0</v>
      </c>
      <c r="B3" s="733" t="s">
        <v>16</v>
      </c>
      <c r="C3" s="734"/>
      <c r="D3" s="734"/>
      <c r="E3" s="734"/>
      <c r="F3" s="734"/>
      <c r="G3" s="734"/>
      <c r="H3" s="734"/>
      <c r="I3" s="735"/>
      <c r="J3" s="147" t="s">
        <v>11</v>
      </c>
      <c r="K3" s="739" t="s">
        <v>15</v>
      </c>
      <c r="L3" s="739"/>
      <c r="M3" s="707">
        <v>46072</v>
      </c>
    </row>
    <row r="4" spans="1:13" ht="14.25" x14ac:dyDescent="0.2">
      <c r="A4" s="22" t="s">
        <v>1</v>
      </c>
      <c r="B4" s="736" t="s">
        <v>194</v>
      </c>
      <c r="C4" s="737"/>
      <c r="D4" s="737"/>
      <c r="E4" s="737"/>
      <c r="F4" s="737"/>
      <c r="G4" s="737"/>
      <c r="H4" s="737"/>
      <c r="I4" s="738"/>
      <c r="J4" s="146">
        <v>10000</v>
      </c>
      <c r="K4" s="739"/>
      <c r="L4" s="739"/>
    </row>
    <row r="5" spans="1:13" x14ac:dyDescent="0.2">
      <c r="A5" s="726" t="s">
        <v>3</v>
      </c>
      <c r="B5" s="726" t="s">
        <v>126</v>
      </c>
      <c r="C5" s="763" t="s">
        <v>17</v>
      </c>
      <c r="D5" s="764"/>
      <c r="E5" s="764"/>
      <c r="F5" s="765"/>
      <c r="G5" s="512" t="s">
        <v>90</v>
      </c>
      <c r="H5" s="730" t="s">
        <v>10</v>
      </c>
      <c r="I5" s="730"/>
      <c r="J5" s="81" t="s">
        <v>12</v>
      </c>
      <c r="K5" s="726" t="s">
        <v>3</v>
      </c>
      <c r="L5" s="117" t="s">
        <v>13</v>
      </c>
    </row>
    <row r="6" spans="1:13" x14ac:dyDescent="0.2">
      <c r="A6" s="726"/>
      <c r="B6" s="726"/>
      <c r="C6" s="85" t="s">
        <v>4</v>
      </c>
      <c r="D6" s="85" t="s">
        <v>6</v>
      </c>
      <c r="E6" s="87" t="s">
        <v>5</v>
      </c>
      <c r="F6" s="86" t="s">
        <v>7</v>
      </c>
      <c r="G6" s="513" t="s">
        <v>206</v>
      </c>
      <c r="H6" s="80" t="s">
        <v>8</v>
      </c>
      <c r="I6" s="457" t="s">
        <v>23</v>
      </c>
      <c r="J6" s="457" t="s">
        <v>23</v>
      </c>
      <c r="K6" s="726"/>
      <c r="L6" s="117" t="s">
        <v>14</v>
      </c>
    </row>
    <row r="7" spans="1:13" x14ac:dyDescent="0.2">
      <c r="A7" s="669" t="s">
        <v>182</v>
      </c>
      <c r="B7" s="670">
        <v>45931</v>
      </c>
      <c r="C7" s="671">
        <v>1330668</v>
      </c>
      <c r="D7" s="671">
        <v>1038960</v>
      </c>
      <c r="E7" s="671">
        <v>1198800</v>
      </c>
      <c r="F7" s="671">
        <v>932400</v>
      </c>
      <c r="G7" s="592"/>
      <c r="H7" s="672"/>
      <c r="I7" s="673">
        <v>0.95</v>
      </c>
      <c r="J7" s="674"/>
      <c r="K7" s="122"/>
      <c r="L7" s="4"/>
    </row>
    <row r="8" spans="1:13" x14ac:dyDescent="0.2">
      <c r="A8" s="121">
        <v>46044</v>
      </c>
      <c r="B8" s="440">
        <v>24326</v>
      </c>
      <c r="C8" s="6">
        <v>0</v>
      </c>
      <c r="D8" s="7">
        <v>300</v>
      </c>
      <c r="E8" s="7">
        <v>0</v>
      </c>
      <c r="F8" s="11">
        <v>200</v>
      </c>
      <c r="G8" s="214">
        <f t="shared" ref="G8:G14" si="0">C8*14.4+D8*12+E8*14.4+F8*12</f>
        <v>6000</v>
      </c>
      <c r="H8" s="137">
        <f>(C8*C$7+D8*D$7+E8*E$7+F8*F$7)*I$7</f>
        <v>473259600</v>
      </c>
      <c r="I8" s="8">
        <f t="shared" ref="I8:I14" si="1">C8+D8+E8+F8</f>
        <v>500</v>
      </c>
      <c r="J8" s="9">
        <f>J4-I8</f>
        <v>9500</v>
      </c>
      <c r="K8" s="121">
        <f>'[1]Area 2'!$D$11</f>
        <v>46071</v>
      </c>
      <c r="L8" s="10">
        <f t="shared" ref="L8:L14" si="2">K8-A8</f>
        <v>27</v>
      </c>
    </row>
    <row r="9" spans="1:13" x14ac:dyDescent="0.2">
      <c r="A9" s="121">
        <v>46081</v>
      </c>
      <c r="B9" s="440">
        <v>24338</v>
      </c>
      <c r="C9" s="6">
        <v>150</v>
      </c>
      <c r="D9" s="7">
        <v>300</v>
      </c>
      <c r="E9" s="7">
        <v>0</v>
      </c>
      <c r="F9" s="11">
        <v>100</v>
      </c>
      <c r="G9" s="214">
        <f t="shared" si="0"/>
        <v>6960</v>
      </c>
      <c r="H9" s="137">
        <f t="shared" ref="H9:H20" si="3">(C9*C$7+D9*D$7+E9*E$7+F9*F$7)*I$7</f>
        <v>574301790</v>
      </c>
      <c r="I9" s="8">
        <f t="shared" si="1"/>
        <v>550</v>
      </c>
      <c r="J9" s="25">
        <f t="shared" ref="J9:J20" si="4">J8-I9</f>
        <v>8950</v>
      </c>
      <c r="K9" s="121">
        <f>'[1]Area 2'!$D$14</f>
        <v>0</v>
      </c>
      <c r="L9" s="15">
        <f t="shared" si="2"/>
        <v>-46081</v>
      </c>
      <c r="M9" s="400"/>
    </row>
    <row r="10" spans="1:13" x14ac:dyDescent="0.2">
      <c r="A10" s="121"/>
      <c r="B10" s="430"/>
      <c r="C10" s="6"/>
      <c r="D10" s="11"/>
      <c r="E10" s="7"/>
      <c r="F10" s="11"/>
      <c r="G10" s="214">
        <f t="shared" si="0"/>
        <v>0</v>
      </c>
      <c r="H10" s="137">
        <f t="shared" si="3"/>
        <v>0</v>
      </c>
      <c r="I10" s="8">
        <f t="shared" si="1"/>
        <v>0</v>
      </c>
      <c r="J10" s="9">
        <f t="shared" si="4"/>
        <v>8950</v>
      </c>
      <c r="K10" s="121"/>
      <c r="L10" s="15">
        <f t="shared" si="2"/>
        <v>0</v>
      </c>
    </row>
    <row r="11" spans="1:13" x14ac:dyDescent="0.2">
      <c r="A11" s="473"/>
      <c r="B11" s="430"/>
      <c r="C11" s="6"/>
      <c r="D11" s="7"/>
      <c r="E11" s="7"/>
      <c r="F11" s="11"/>
      <c r="G11" s="214">
        <f t="shared" si="0"/>
        <v>0</v>
      </c>
      <c r="H11" s="137">
        <f t="shared" si="3"/>
        <v>0</v>
      </c>
      <c r="I11" s="8">
        <f t="shared" si="1"/>
        <v>0</v>
      </c>
      <c r="J11" s="9">
        <f t="shared" si="4"/>
        <v>8950</v>
      </c>
      <c r="K11" s="121"/>
      <c r="L11" s="15">
        <f t="shared" si="2"/>
        <v>0</v>
      </c>
    </row>
    <row r="12" spans="1:13" x14ac:dyDescent="0.2">
      <c r="A12" s="121"/>
      <c r="B12" s="430"/>
      <c r="C12" s="6"/>
      <c r="D12" s="7"/>
      <c r="E12" s="7"/>
      <c r="F12" s="11"/>
      <c r="G12" s="214">
        <f>C12*14.4+D12*12+E12*14.4+F12*12</f>
        <v>0</v>
      </c>
      <c r="H12" s="137">
        <f t="shared" si="3"/>
        <v>0</v>
      </c>
      <c r="I12" s="8">
        <f>C12+D12+E12+F12</f>
        <v>0</v>
      </c>
      <c r="J12" s="9">
        <f t="shared" si="4"/>
        <v>8950</v>
      </c>
      <c r="K12" s="121"/>
      <c r="L12" s="10">
        <f t="shared" si="2"/>
        <v>0</v>
      </c>
    </row>
    <row r="13" spans="1:13" x14ac:dyDescent="0.2">
      <c r="A13" s="121"/>
      <c r="B13" s="430"/>
      <c r="C13" s="6"/>
      <c r="D13" s="7"/>
      <c r="E13" s="7"/>
      <c r="F13" s="11"/>
      <c r="G13" s="214">
        <f t="shared" si="0"/>
        <v>0</v>
      </c>
      <c r="H13" s="137">
        <f t="shared" si="3"/>
        <v>0</v>
      </c>
      <c r="I13" s="8">
        <f t="shared" si="1"/>
        <v>0</v>
      </c>
      <c r="J13" s="9">
        <f t="shared" si="4"/>
        <v>8950</v>
      </c>
      <c r="K13" s="121"/>
      <c r="L13" s="10">
        <f t="shared" si="2"/>
        <v>0</v>
      </c>
    </row>
    <row r="14" spans="1:13" x14ac:dyDescent="0.2">
      <c r="A14" s="121"/>
      <c r="B14" s="430"/>
      <c r="C14" s="6"/>
      <c r="D14" s="7"/>
      <c r="E14" s="7"/>
      <c r="F14" s="11"/>
      <c r="G14" s="214">
        <f t="shared" si="0"/>
        <v>0</v>
      </c>
      <c r="H14" s="137">
        <f t="shared" si="3"/>
        <v>0</v>
      </c>
      <c r="I14" s="8">
        <f t="shared" si="1"/>
        <v>0</v>
      </c>
      <c r="J14" s="9">
        <f t="shared" si="4"/>
        <v>8950</v>
      </c>
      <c r="K14" s="121"/>
      <c r="L14" s="10">
        <f t="shared" si="2"/>
        <v>0</v>
      </c>
    </row>
    <row r="15" spans="1:13" x14ac:dyDescent="0.2">
      <c r="A15" s="121"/>
      <c r="B15" s="430"/>
      <c r="C15" s="6"/>
      <c r="D15" s="7"/>
      <c r="E15" s="7"/>
      <c r="F15" s="11"/>
      <c r="G15" s="214">
        <f t="shared" ref="G15:G20" si="5">C15*14.4+D15*12+E15*14.4+F15*12</f>
        <v>0</v>
      </c>
      <c r="H15" s="137">
        <f t="shared" si="3"/>
        <v>0</v>
      </c>
      <c r="I15" s="8">
        <f t="shared" ref="I15:I20" si="6">C15+D15+E15+F15</f>
        <v>0</v>
      </c>
      <c r="J15" s="9">
        <f t="shared" si="4"/>
        <v>8950</v>
      </c>
      <c r="K15" s="121"/>
      <c r="L15" s="10">
        <f t="shared" ref="L15:L20" si="7">K15-A15</f>
        <v>0</v>
      </c>
    </row>
    <row r="16" spans="1:13" x14ac:dyDescent="0.2">
      <c r="A16" s="121"/>
      <c r="B16" s="430"/>
      <c r="C16" s="6"/>
      <c r="D16" s="11"/>
      <c r="E16" s="11"/>
      <c r="F16" s="11"/>
      <c r="G16" s="214">
        <f t="shared" si="5"/>
        <v>0</v>
      </c>
      <c r="H16" s="137">
        <f t="shared" si="3"/>
        <v>0</v>
      </c>
      <c r="I16" s="8">
        <f t="shared" si="6"/>
        <v>0</v>
      </c>
      <c r="J16" s="9">
        <f t="shared" si="4"/>
        <v>8950</v>
      </c>
      <c r="K16" s="121"/>
      <c r="L16" s="10">
        <f t="shared" si="7"/>
        <v>0</v>
      </c>
    </row>
    <row r="17" spans="1:12" x14ac:dyDescent="0.2">
      <c r="A17" s="121"/>
      <c r="B17" s="430"/>
      <c r="C17" s="6"/>
      <c r="D17" s="11"/>
      <c r="E17" s="11"/>
      <c r="F17" s="11"/>
      <c r="G17" s="214">
        <f t="shared" si="5"/>
        <v>0</v>
      </c>
      <c r="H17" s="137">
        <f t="shared" si="3"/>
        <v>0</v>
      </c>
      <c r="I17" s="8">
        <f t="shared" si="6"/>
        <v>0</v>
      </c>
      <c r="J17" s="9">
        <f t="shared" si="4"/>
        <v>8950</v>
      </c>
      <c r="K17" s="121"/>
      <c r="L17" s="10">
        <f t="shared" si="7"/>
        <v>0</v>
      </c>
    </row>
    <row r="18" spans="1:12" x14ac:dyDescent="0.2">
      <c r="A18" s="121"/>
      <c r="B18" s="474"/>
      <c r="C18" s="283"/>
      <c r="D18" s="484"/>
      <c r="E18" s="484"/>
      <c r="F18" s="484"/>
      <c r="G18" s="485">
        <f t="shared" si="5"/>
        <v>0</v>
      </c>
      <c r="H18" s="137">
        <f t="shared" si="3"/>
        <v>0</v>
      </c>
      <c r="I18" s="284">
        <f t="shared" si="6"/>
        <v>0</v>
      </c>
      <c r="J18" s="9">
        <f t="shared" si="4"/>
        <v>8950</v>
      </c>
      <c r="K18" s="121"/>
      <c r="L18" s="10">
        <f t="shared" si="7"/>
        <v>0</v>
      </c>
    </row>
    <row r="19" spans="1:12" x14ac:dyDescent="0.2">
      <c r="A19" s="121"/>
      <c r="B19" s="474"/>
      <c r="C19" s="283"/>
      <c r="D19" s="652"/>
      <c r="E19" s="484"/>
      <c r="F19" s="484"/>
      <c r="G19" s="485">
        <f t="shared" si="5"/>
        <v>0</v>
      </c>
      <c r="H19" s="137">
        <f t="shared" si="3"/>
        <v>0</v>
      </c>
      <c r="I19" s="284">
        <f t="shared" si="6"/>
        <v>0</v>
      </c>
      <c r="J19" s="9">
        <f t="shared" si="4"/>
        <v>8950</v>
      </c>
      <c r="K19" s="121"/>
      <c r="L19" s="10">
        <f t="shared" si="7"/>
        <v>0</v>
      </c>
    </row>
    <row r="20" spans="1:12" x14ac:dyDescent="0.2">
      <c r="A20" s="121"/>
      <c r="B20" s="474"/>
      <c r="C20" s="283"/>
      <c r="D20" s="484"/>
      <c r="E20" s="484"/>
      <c r="F20" s="484"/>
      <c r="G20" s="485">
        <f t="shared" si="5"/>
        <v>0</v>
      </c>
      <c r="H20" s="137">
        <f t="shared" si="3"/>
        <v>0</v>
      </c>
      <c r="I20" s="284">
        <f t="shared" si="6"/>
        <v>0</v>
      </c>
      <c r="J20" s="9">
        <f t="shared" si="4"/>
        <v>8950</v>
      </c>
      <c r="K20" s="121"/>
      <c r="L20" s="10">
        <f t="shared" si="7"/>
        <v>0</v>
      </c>
    </row>
    <row r="21" spans="1:12" x14ac:dyDescent="0.2">
      <c r="A21" s="121"/>
      <c r="B21" s="474"/>
      <c r="C21" s="283"/>
      <c r="D21" s="484"/>
      <c r="E21" s="484"/>
      <c r="F21" s="484"/>
      <c r="G21" s="485">
        <f t="shared" ref="G21:G28" si="8">C21*14.4+D21*12+E21*14.4+F21*12</f>
        <v>0</v>
      </c>
      <c r="H21" s="137">
        <f t="shared" ref="H21:H28" si="9">(C21*C$7+D21*D$7+E21*E$7+F21*F$7)*I$7</f>
        <v>0</v>
      </c>
      <c r="I21" s="284">
        <f t="shared" ref="I21:I28" si="10">C21+D21+E21+F21</f>
        <v>0</v>
      </c>
      <c r="J21" s="9">
        <f t="shared" ref="J21:J28" si="11">J20-I21</f>
        <v>8950</v>
      </c>
      <c r="K21" s="121"/>
      <c r="L21" s="10">
        <f t="shared" ref="L21:L28" si="12">K21-A21</f>
        <v>0</v>
      </c>
    </row>
    <row r="22" spans="1:12" x14ac:dyDescent="0.2">
      <c r="A22" s="121"/>
      <c r="B22" s="474"/>
      <c r="C22" s="283"/>
      <c r="D22" s="484"/>
      <c r="E22" s="484"/>
      <c r="F22" s="484"/>
      <c r="G22" s="485">
        <f t="shared" si="8"/>
        <v>0</v>
      </c>
      <c r="H22" s="137">
        <f t="shared" si="9"/>
        <v>0</v>
      </c>
      <c r="I22" s="284">
        <f t="shared" si="10"/>
        <v>0</v>
      </c>
      <c r="J22" s="589">
        <f t="shared" si="11"/>
        <v>8950</v>
      </c>
      <c r="K22" s="121"/>
      <c r="L22" s="10">
        <f t="shared" si="12"/>
        <v>0</v>
      </c>
    </row>
    <row r="23" spans="1:12" x14ac:dyDescent="0.2">
      <c r="A23" s="121"/>
      <c r="B23" s="474"/>
      <c r="C23" s="283"/>
      <c r="D23" s="484"/>
      <c r="E23" s="484"/>
      <c r="F23" s="484"/>
      <c r="G23" s="485">
        <f t="shared" si="8"/>
        <v>0</v>
      </c>
      <c r="H23" s="137">
        <f t="shared" si="9"/>
        <v>0</v>
      </c>
      <c r="I23" s="284">
        <f t="shared" si="10"/>
        <v>0</v>
      </c>
      <c r="J23" s="589">
        <f t="shared" si="11"/>
        <v>8950</v>
      </c>
      <c r="K23" s="121"/>
      <c r="L23" s="10">
        <f t="shared" si="12"/>
        <v>0</v>
      </c>
    </row>
    <row r="24" spans="1:12" x14ac:dyDescent="0.2">
      <c r="A24" s="121"/>
      <c r="B24" s="474"/>
      <c r="C24" s="283"/>
      <c r="D24" s="484"/>
      <c r="E24" s="484"/>
      <c r="F24" s="484"/>
      <c r="G24" s="485">
        <f t="shared" si="8"/>
        <v>0</v>
      </c>
      <c r="H24" s="137">
        <f t="shared" si="9"/>
        <v>0</v>
      </c>
      <c r="I24" s="284">
        <f t="shared" si="10"/>
        <v>0</v>
      </c>
      <c r="J24" s="589">
        <f t="shared" si="11"/>
        <v>8950</v>
      </c>
      <c r="K24" s="121"/>
      <c r="L24" s="10">
        <f t="shared" si="12"/>
        <v>0</v>
      </c>
    </row>
    <row r="25" spans="1:12" x14ac:dyDescent="0.2">
      <c r="A25" s="121"/>
      <c r="B25" s="474"/>
      <c r="C25" s="283"/>
      <c r="D25" s="484"/>
      <c r="E25" s="484"/>
      <c r="F25" s="484"/>
      <c r="G25" s="485">
        <f t="shared" si="8"/>
        <v>0</v>
      </c>
      <c r="H25" s="137">
        <f t="shared" si="9"/>
        <v>0</v>
      </c>
      <c r="I25" s="284">
        <f t="shared" si="10"/>
        <v>0</v>
      </c>
      <c r="J25" s="589">
        <f t="shared" si="11"/>
        <v>8950</v>
      </c>
      <c r="K25" s="121"/>
      <c r="L25" s="10">
        <f t="shared" si="12"/>
        <v>0</v>
      </c>
    </row>
    <row r="26" spans="1:12" x14ac:dyDescent="0.2">
      <c r="A26" s="121"/>
      <c r="B26" s="474"/>
      <c r="C26" s="283"/>
      <c r="D26" s="484"/>
      <c r="E26" s="484"/>
      <c r="F26" s="484"/>
      <c r="G26" s="485">
        <f t="shared" si="8"/>
        <v>0</v>
      </c>
      <c r="H26" s="137">
        <f t="shared" si="9"/>
        <v>0</v>
      </c>
      <c r="I26" s="284">
        <f t="shared" si="10"/>
        <v>0</v>
      </c>
      <c r="J26" s="589">
        <f t="shared" si="11"/>
        <v>8950</v>
      </c>
      <c r="K26" s="121"/>
      <c r="L26" s="10">
        <f t="shared" si="12"/>
        <v>0</v>
      </c>
    </row>
    <row r="27" spans="1:12" x14ac:dyDescent="0.2">
      <c r="A27" s="121"/>
      <c r="B27" s="474"/>
      <c r="C27" s="283"/>
      <c r="D27" s="484"/>
      <c r="E27" s="484"/>
      <c r="F27" s="484"/>
      <c r="G27" s="485">
        <f t="shared" si="8"/>
        <v>0</v>
      </c>
      <c r="H27" s="137">
        <f t="shared" si="9"/>
        <v>0</v>
      </c>
      <c r="I27" s="284">
        <f t="shared" si="10"/>
        <v>0</v>
      </c>
      <c r="J27" s="589">
        <f t="shared" si="11"/>
        <v>8950</v>
      </c>
      <c r="K27" s="121"/>
      <c r="L27" s="10">
        <f t="shared" si="12"/>
        <v>0</v>
      </c>
    </row>
    <row r="28" spans="1:12" x14ac:dyDescent="0.2">
      <c r="A28" s="121"/>
      <c r="B28" s="474"/>
      <c r="C28" s="283"/>
      <c r="D28" s="484"/>
      <c r="E28" s="484"/>
      <c r="F28" s="484"/>
      <c r="G28" s="485">
        <f t="shared" si="8"/>
        <v>0</v>
      </c>
      <c r="H28" s="137">
        <f t="shared" si="9"/>
        <v>0</v>
      </c>
      <c r="I28" s="284">
        <f t="shared" si="10"/>
        <v>0</v>
      </c>
      <c r="J28" s="589">
        <f t="shared" si="11"/>
        <v>8950</v>
      </c>
      <c r="K28" s="121"/>
      <c r="L28" s="10">
        <f t="shared" si="12"/>
        <v>0</v>
      </c>
    </row>
    <row r="29" spans="1:12" x14ac:dyDescent="0.2">
      <c r="A29" s="121"/>
      <c r="B29" s="474"/>
      <c r="C29" s="283"/>
      <c r="D29" s="484"/>
      <c r="E29" s="484"/>
      <c r="F29" s="484"/>
      <c r="G29" s="485">
        <f>C29*14.4+D29*12+E29*14.4+F29*12</f>
        <v>0</v>
      </c>
      <c r="H29" s="137">
        <f>(C29*C$7+D29*D$7+E29*E$7+F29*F$7)*I$7</f>
        <v>0</v>
      </c>
      <c r="I29" s="284">
        <f>C29+D29+E29+F29</f>
        <v>0</v>
      </c>
      <c r="J29" s="589">
        <f>J28-I29</f>
        <v>8950</v>
      </c>
      <c r="K29" s="121"/>
      <c r="L29" s="10">
        <f>K29-A29</f>
        <v>0</v>
      </c>
    </row>
    <row r="30" spans="1:12" x14ac:dyDescent="0.2">
      <c r="A30" s="121"/>
      <c r="B30" s="474"/>
      <c r="C30" s="283"/>
      <c r="D30" s="484"/>
      <c r="E30" s="484"/>
      <c r="F30" s="484"/>
      <c r="G30" s="485">
        <f>C30*14.4+D30*12+E30*14.4+F30*12</f>
        <v>0</v>
      </c>
      <c r="H30" s="137">
        <f>(C30*C$7+D30*D$7+E30*E$7+F30*F$7)*I$7</f>
        <v>0</v>
      </c>
      <c r="I30" s="284">
        <f>C30+D30+E30+F30</f>
        <v>0</v>
      </c>
      <c r="J30" s="589">
        <f>J29-I30</f>
        <v>8950</v>
      </c>
      <c r="K30" s="121"/>
      <c r="L30" s="10">
        <f>K30-A30</f>
        <v>0</v>
      </c>
    </row>
    <row r="31" spans="1:12" x14ac:dyDescent="0.2">
      <c r="A31" s="121"/>
      <c r="B31" s="474"/>
      <c r="C31" s="283"/>
      <c r="D31" s="484"/>
      <c r="E31" s="484"/>
      <c r="F31" s="484"/>
      <c r="G31" s="485">
        <f>C31*14.4+D31*12+E31*14.4+F31*12</f>
        <v>0</v>
      </c>
      <c r="H31" s="137">
        <f>(C31*C$7+D31*D$7+E31*E$7+F31*F$7)*I$7</f>
        <v>0</v>
      </c>
      <c r="I31" s="284">
        <f>C31+D31+E31+F31</f>
        <v>0</v>
      </c>
      <c r="J31" s="589">
        <f>J30-I31</f>
        <v>8950</v>
      </c>
      <c r="K31" s="121"/>
      <c r="L31" s="10">
        <f>K31-A31</f>
        <v>0</v>
      </c>
    </row>
    <row r="32" spans="1:12" x14ac:dyDescent="0.2">
      <c r="A32" s="121"/>
      <c r="B32" s="474"/>
      <c r="C32" s="283"/>
      <c r="D32" s="484"/>
      <c r="E32" s="484"/>
      <c r="F32" s="484"/>
      <c r="G32" s="485">
        <f>C32*14.4+D32*12+E32*14.4+F32*12</f>
        <v>0</v>
      </c>
      <c r="H32" s="137">
        <f>(C32*C$7+D32*D$7+E32*E$7+F32*F$7)*I$7</f>
        <v>0</v>
      </c>
      <c r="I32" s="284">
        <f>C32+D32+E32+F32</f>
        <v>0</v>
      </c>
      <c r="J32" s="589">
        <f>J31-I32</f>
        <v>8950</v>
      </c>
      <c r="K32" s="121"/>
      <c r="L32" s="10">
        <f>K32-A32</f>
        <v>0</v>
      </c>
    </row>
    <row r="33" spans="1:13" s="159" customFormat="1" x14ac:dyDescent="0.2">
      <c r="A33" s="782" t="s">
        <v>18</v>
      </c>
      <c r="B33" s="783"/>
      <c r="C33" s="720">
        <f>SUM(C8:C32)</f>
        <v>150</v>
      </c>
      <c r="D33" s="720">
        <f>SUM(D7:D32)</f>
        <v>1039560</v>
      </c>
      <c r="E33" s="721">
        <f>SUM(E8:E32)</f>
        <v>0</v>
      </c>
      <c r="F33" s="721">
        <f>SUM(F8:F32)</f>
        <v>300</v>
      </c>
      <c r="G33" s="534">
        <f>SUM(G8:G32)</f>
        <v>12960</v>
      </c>
      <c r="H33" s="79">
        <f>SUM(H8:H32)</f>
        <v>1047561390</v>
      </c>
      <c r="I33" s="52">
        <f>SUM(I7:I32)</f>
        <v>1050.95</v>
      </c>
      <c r="J33" s="713">
        <f>J4-I33</f>
        <v>8949.0499999999993</v>
      </c>
      <c r="K33" s="340"/>
      <c r="L33" s="93"/>
      <c r="M33" s="298"/>
    </row>
    <row r="34" spans="1:13" x14ac:dyDescent="0.2">
      <c r="A34" s="776" t="s">
        <v>47</v>
      </c>
      <c r="B34" s="777"/>
      <c r="C34" s="796">
        <f>SUM(D33)</f>
        <v>1039560</v>
      </c>
      <c r="D34" s="796"/>
      <c r="E34" s="796"/>
      <c r="F34" s="796"/>
      <c r="G34" s="220"/>
      <c r="H34" s="57" t="s">
        <v>46</v>
      </c>
      <c r="I34" s="58">
        <f>I33/J4%</f>
        <v>10.509500000000001</v>
      </c>
      <c r="J34" s="240">
        <f>J33/J4%</f>
        <v>89.490499999999997</v>
      </c>
      <c r="K34" s="126"/>
      <c r="L34" s="3"/>
    </row>
    <row r="36" spans="1:13" ht="18" x14ac:dyDescent="0.25">
      <c r="A36" s="149" t="s">
        <v>0</v>
      </c>
      <c r="B36" s="733" t="s">
        <v>16</v>
      </c>
      <c r="C36" s="734"/>
      <c r="D36" s="734"/>
      <c r="E36" s="734"/>
      <c r="F36" s="734"/>
      <c r="G36" s="734"/>
      <c r="H36" s="734"/>
      <c r="I36" s="735"/>
      <c r="J36" s="147" t="s">
        <v>11</v>
      </c>
      <c r="K36" s="739" t="s">
        <v>15</v>
      </c>
      <c r="L36" s="739"/>
      <c r="M36" s="707">
        <v>46057</v>
      </c>
    </row>
    <row r="37" spans="1:13" ht="14.25" x14ac:dyDescent="0.2">
      <c r="A37" s="22" t="s">
        <v>1</v>
      </c>
      <c r="B37" s="736" t="s">
        <v>140</v>
      </c>
      <c r="C37" s="737"/>
      <c r="D37" s="737"/>
      <c r="E37" s="737"/>
      <c r="F37" s="737"/>
      <c r="G37" s="737"/>
      <c r="H37" s="737"/>
      <c r="I37" s="738"/>
      <c r="J37" s="146">
        <v>5000</v>
      </c>
      <c r="K37" s="739"/>
      <c r="L37" s="739"/>
    </row>
    <row r="38" spans="1:13" x14ac:dyDescent="0.2">
      <c r="A38" s="726" t="s">
        <v>3</v>
      </c>
      <c r="B38" s="726" t="s">
        <v>126</v>
      </c>
      <c r="C38" s="763" t="s">
        <v>17</v>
      </c>
      <c r="D38" s="764"/>
      <c r="E38" s="764"/>
      <c r="F38" s="765"/>
      <c r="G38" s="512" t="s">
        <v>90</v>
      </c>
      <c r="H38" s="730" t="s">
        <v>10</v>
      </c>
      <c r="I38" s="730"/>
      <c r="J38" s="81" t="s">
        <v>12</v>
      </c>
      <c r="K38" s="726" t="s">
        <v>3</v>
      </c>
      <c r="L38" s="117" t="s">
        <v>13</v>
      </c>
    </row>
    <row r="39" spans="1:13" x14ac:dyDescent="0.2">
      <c r="A39" s="726"/>
      <c r="B39" s="726"/>
      <c r="C39" s="85" t="s">
        <v>4</v>
      </c>
      <c r="D39" s="85" t="s">
        <v>6</v>
      </c>
      <c r="E39" s="87" t="s">
        <v>5</v>
      </c>
      <c r="F39" s="86" t="s">
        <v>7</v>
      </c>
      <c r="G39" s="513" t="s">
        <v>206</v>
      </c>
      <c r="H39" s="80" t="s">
        <v>8</v>
      </c>
      <c r="I39" s="286" t="s">
        <v>23</v>
      </c>
      <c r="J39" s="286" t="s">
        <v>23</v>
      </c>
      <c r="K39" s="726"/>
      <c r="L39" s="117" t="s">
        <v>14</v>
      </c>
    </row>
    <row r="40" spans="1:13" x14ac:dyDescent="0.2">
      <c r="A40" s="669" t="s">
        <v>182</v>
      </c>
      <c r="B40" s="670">
        <v>45931</v>
      </c>
      <c r="C40" s="671">
        <v>1330668</v>
      </c>
      <c r="D40" s="671">
        <v>1038960</v>
      </c>
      <c r="E40" s="671">
        <v>1198800</v>
      </c>
      <c r="F40" s="671">
        <v>932400</v>
      </c>
      <c r="G40" s="592"/>
      <c r="H40" s="672"/>
      <c r="I40" s="673">
        <v>0.96</v>
      </c>
      <c r="J40" s="674"/>
      <c r="K40" s="122"/>
      <c r="L40" s="4"/>
    </row>
    <row r="41" spans="1:13" x14ac:dyDescent="0.2">
      <c r="A41" s="121">
        <v>46036</v>
      </c>
      <c r="B41" s="440">
        <v>24324</v>
      </c>
      <c r="C41" s="137">
        <v>50</v>
      </c>
      <c r="D41" s="7">
        <v>200</v>
      </c>
      <c r="E41" s="143">
        <v>100</v>
      </c>
      <c r="F41" s="11">
        <v>150</v>
      </c>
      <c r="G41" s="214">
        <f t="shared" ref="G41:G49" si="13">C41*14.4+D41*12+E41*14.4+F41*12</f>
        <v>6360</v>
      </c>
      <c r="H41" s="137">
        <f>(C41*C$40+D41*D$40+E41*E$40+F41*F$40)*I$40</f>
        <v>512702784</v>
      </c>
      <c r="I41" s="8">
        <f t="shared" ref="I41:I49" si="14">C41+D41+E41+F41</f>
        <v>500</v>
      </c>
      <c r="J41" s="9">
        <f>J37-I41</f>
        <v>4500</v>
      </c>
      <c r="K41" s="121"/>
      <c r="L41" s="656">
        <f t="shared" ref="L41:L49" si="15">K41-A41</f>
        <v>-46036</v>
      </c>
    </row>
    <row r="42" spans="1:13" x14ac:dyDescent="0.2">
      <c r="A42" s="121"/>
      <c r="B42" s="440"/>
      <c r="C42" s="137"/>
      <c r="D42" s="137"/>
      <c r="E42" s="137"/>
      <c r="F42" s="137"/>
      <c r="G42" s="214">
        <f t="shared" si="13"/>
        <v>0</v>
      </c>
      <c r="H42" s="137">
        <f t="shared" ref="H42:H52" si="16">(C42*C$40+D42*D$40+E42*E$40+F42*F$40)*I$40</f>
        <v>0</v>
      </c>
      <c r="I42" s="8">
        <f t="shared" si="14"/>
        <v>0</v>
      </c>
      <c r="J42" s="9">
        <f t="shared" ref="J42:J49" si="17">J41-I42</f>
        <v>4500</v>
      </c>
      <c r="K42" s="121"/>
      <c r="L42" s="10">
        <f t="shared" si="15"/>
        <v>0</v>
      </c>
    </row>
    <row r="43" spans="1:13" x14ac:dyDescent="0.2">
      <c r="A43" s="121"/>
      <c r="B43" s="440"/>
      <c r="C43" s="6"/>
      <c r="D43" s="7"/>
      <c r="E43" s="7"/>
      <c r="F43" s="11"/>
      <c r="G43" s="214">
        <f t="shared" si="13"/>
        <v>0</v>
      </c>
      <c r="H43" s="137">
        <f t="shared" si="16"/>
        <v>0</v>
      </c>
      <c r="I43" s="8">
        <f t="shared" si="14"/>
        <v>0</v>
      </c>
      <c r="J43" s="9">
        <f t="shared" si="17"/>
        <v>4500</v>
      </c>
      <c r="K43" s="121"/>
      <c r="L43" s="15">
        <f t="shared" si="15"/>
        <v>0</v>
      </c>
    </row>
    <row r="44" spans="1:13" x14ac:dyDescent="0.2">
      <c r="A44" s="121"/>
      <c r="B44" s="430"/>
      <c r="C44" s="6"/>
      <c r="D44" s="7"/>
      <c r="E44" s="7"/>
      <c r="F44" s="11"/>
      <c r="G44" s="214">
        <f t="shared" si="13"/>
        <v>0</v>
      </c>
      <c r="H44" s="137">
        <f t="shared" si="16"/>
        <v>0</v>
      </c>
      <c r="I44" s="8">
        <f t="shared" si="14"/>
        <v>0</v>
      </c>
      <c r="J44" s="9">
        <f t="shared" si="17"/>
        <v>4500</v>
      </c>
      <c r="K44" s="121"/>
      <c r="L44" s="15">
        <f t="shared" si="15"/>
        <v>0</v>
      </c>
    </row>
    <row r="45" spans="1:13" x14ac:dyDescent="0.2">
      <c r="A45" s="121"/>
      <c r="B45" s="430"/>
      <c r="C45" s="6"/>
      <c r="D45" s="7"/>
      <c r="E45" s="7"/>
      <c r="F45" s="11"/>
      <c r="G45" s="214">
        <f t="shared" si="13"/>
        <v>0</v>
      </c>
      <c r="H45" s="137">
        <f t="shared" si="16"/>
        <v>0</v>
      </c>
      <c r="I45" s="8">
        <f t="shared" si="14"/>
        <v>0</v>
      </c>
      <c r="J45" s="9">
        <f t="shared" si="17"/>
        <v>4500</v>
      </c>
      <c r="K45" s="121"/>
      <c r="L45" s="15">
        <f t="shared" si="15"/>
        <v>0</v>
      </c>
    </row>
    <row r="46" spans="1:13" x14ac:dyDescent="0.2">
      <c r="A46" s="121"/>
      <c r="B46" s="474"/>
      <c r="C46" s="283"/>
      <c r="D46" s="483"/>
      <c r="E46" s="483"/>
      <c r="F46" s="484"/>
      <c r="G46" s="485">
        <f t="shared" si="13"/>
        <v>0</v>
      </c>
      <c r="H46" s="137">
        <f t="shared" si="16"/>
        <v>0</v>
      </c>
      <c r="I46" s="284">
        <f t="shared" si="14"/>
        <v>0</v>
      </c>
      <c r="J46" s="349">
        <f t="shared" si="17"/>
        <v>4500</v>
      </c>
      <c r="K46" s="121"/>
      <c r="L46" s="15">
        <f t="shared" si="15"/>
        <v>0</v>
      </c>
    </row>
    <row r="47" spans="1:13" x14ac:dyDescent="0.2">
      <c r="A47" s="121"/>
      <c r="B47" s="430"/>
      <c r="C47" s="6"/>
      <c r="D47" s="7"/>
      <c r="E47" s="7"/>
      <c r="F47" s="11"/>
      <c r="G47" s="214">
        <f t="shared" si="13"/>
        <v>0</v>
      </c>
      <c r="H47" s="137">
        <f t="shared" si="16"/>
        <v>0</v>
      </c>
      <c r="I47" s="8">
        <f t="shared" si="14"/>
        <v>0</v>
      </c>
      <c r="J47" s="9">
        <f t="shared" si="17"/>
        <v>4500</v>
      </c>
      <c r="K47" s="121"/>
      <c r="L47" s="15">
        <f t="shared" si="15"/>
        <v>0</v>
      </c>
    </row>
    <row r="48" spans="1:13" x14ac:dyDescent="0.2">
      <c r="A48" s="121"/>
      <c r="B48" s="430"/>
      <c r="C48" s="6"/>
      <c r="D48" s="7"/>
      <c r="E48" s="7"/>
      <c r="F48" s="11"/>
      <c r="G48" s="214">
        <f t="shared" si="13"/>
        <v>0</v>
      </c>
      <c r="H48" s="137">
        <f t="shared" si="16"/>
        <v>0</v>
      </c>
      <c r="I48" s="8">
        <f t="shared" si="14"/>
        <v>0</v>
      </c>
      <c r="J48" s="9">
        <f t="shared" si="17"/>
        <v>4500</v>
      </c>
      <c r="K48" s="121"/>
      <c r="L48" s="15">
        <f t="shared" si="15"/>
        <v>0</v>
      </c>
    </row>
    <row r="49" spans="1:15" x14ac:dyDescent="0.2">
      <c r="A49" s="121"/>
      <c r="B49" s="430"/>
      <c r="C49" s="6"/>
      <c r="D49" s="7"/>
      <c r="E49" s="7"/>
      <c r="F49" s="11"/>
      <c r="G49" s="214">
        <f t="shared" si="13"/>
        <v>0</v>
      </c>
      <c r="H49" s="137">
        <f t="shared" si="16"/>
        <v>0</v>
      </c>
      <c r="I49" s="8">
        <f t="shared" si="14"/>
        <v>0</v>
      </c>
      <c r="J49" s="9">
        <f t="shared" si="17"/>
        <v>4500</v>
      </c>
      <c r="K49" s="121"/>
      <c r="L49" s="15">
        <f t="shared" si="15"/>
        <v>0</v>
      </c>
    </row>
    <row r="50" spans="1:15" x14ac:dyDescent="0.2">
      <c r="A50" s="121"/>
      <c r="B50" s="430"/>
      <c r="C50" s="6"/>
      <c r="D50" s="7"/>
      <c r="E50" s="7"/>
      <c r="F50" s="11"/>
      <c r="G50" s="214">
        <f>C50*14.4+D50*12+E50*14.4+F50*12</f>
        <v>0</v>
      </c>
      <c r="H50" s="137">
        <f t="shared" si="16"/>
        <v>0</v>
      </c>
      <c r="I50" s="8">
        <f>C50+D50+E50+F50</f>
        <v>0</v>
      </c>
      <c r="J50" s="9">
        <f>J49-I50</f>
        <v>4500</v>
      </c>
      <c r="K50" s="121"/>
      <c r="L50" s="15">
        <f>K50-A50</f>
        <v>0</v>
      </c>
    </row>
    <row r="51" spans="1:15" x14ac:dyDescent="0.2">
      <c r="A51" s="121"/>
      <c r="B51" s="430"/>
      <c r="C51" s="6"/>
      <c r="D51" s="7"/>
      <c r="E51" s="7"/>
      <c r="F51" s="11"/>
      <c r="G51" s="214">
        <f>C51*14.4+D51*12+E51*14.4+F51*12</f>
        <v>0</v>
      </c>
      <c r="H51" s="137">
        <f t="shared" si="16"/>
        <v>0</v>
      </c>
      <c r="I51" s="8">
        <f>C51+D51+E51+F51</f>
        <v>0</v>
      </c>
      <c r="J51" s="9">
        <f>J50-I51</f>
        <v>4500</v>
      </c>
      <c r="K51" s="121"/>
      <c r="L51" s="15">
        <f>K51-A51</f>
        <v>0</v>
      </c>
    </row>
    <row r="52" spans="1:15" x14ac:dyDescent="0.2">
      <c r="A52" s="121"/>
      <c r="B52" s="430"/>
      <c r="C52" s="6"/>
      <c r="D52" s="7"/>
      <c r="E52" s="7"/>
      <c r="F52" s="11"/>
      <c r="G52" s="214">
        <f>C52*14.4+D52*12+E52*14.4+F52*12</f>
        <v>0</v>
      </c>
      <c r="H52" s="137">
        <f t="shared" si="16"/>
        <v>0</v>
      </c>
      <c r="I52" s="8">
        <f>C52+D52+E52+F52</f>
        <v>0</v>
      </c>
      <c r="J52" s="9">
        <f>J51-I52</f>
        <v>4500</v>
      </c>
      <c r="K52" s="121"/>
      <c r="L52" s="15">
        <f>K52-A52</f>
        <v>0</v>
      </c>
    </row>
    <row r="53" spans="1:15" x14ac:dyDescent="0.2">
      <c r="A53" s="731" t="s">
        <v>18</v>
      </c>
      <c r="B53" s="732"/>
      <c r="C53" s="235">
        <f t="shared" ref="C53:I53" si="18">SUM(C41:C52)</f>
        <v>50</v>
      </c>
      <c r="D53" s="235">
        <f t="shared" si="18"/>
        <v>200</v>
      </c>
      <c r="E53" s="236">
        <f t="shared" si="18"/>
        <v>100</v>
      </c>
      <c r="F53" s="236">
        <f t="shared" si="18"/>
        <v>150</v>
      </c>
      <c r="G53" s="534">
        <f t="shared" si="18"/>
        <v>6360</v>
      </c>
      <c r="H53" s="92">
        <f t="shared" si="18"/>
        <v>512702784</v>
      </c>
      <c r="I53" s="48">
        <f t="shared" si="18"/>
        <v>500</v>
      </c>
      <c r="J53" s="49">
        <f>J37-I53</f>
        <v>4500</v>
      </c>
      <c r="K53" s="121"/>
      <c r="L53" s="10"/>
    </row>
    <row r="54" spans="1:15" x14ac:dyDescent="0.2">
      <c r="A54" s="776" t="s">
        <v>47</v>
      </c>
      <c r="B54" s="777"/>
      <c r="C54" s="740">
        <f>SUM(C53:F53)</f>
        <v>500</v>
      </c>
      <c r="D54" s="741"/>
      <c r="E54" s="741"/>
      <c r="F54" s="742"/>
      <c r="G54" s="219"/>
      <c r="H54" s="57" t="s">
        <v>46</v>
      </c>
      <c r="I54" s="51">
        <f>I53/J37%</f>
        <v>10</v>
      </c>
      <c r="J54" s="53">
        <f>J53/J37%</f>
        <v>90</v>
      </c>
      <c r="K54" s="121"/>
      <c r="L54" s="4"/>
    </row>
    <row r="56" spans="1:15" x14ac:dyDescent="0.2">
      <c r="H56" s="39"/>
    </row>
    <row r="57" spans="1:15" ht="18" x14ac:dyDescent="0.25">
      <c r="A57" s="149" t="s">
        <v>0</v>
      </c>
      <c r="B57" s="733" t="s">
        <v>16</v>
      </c>
      <c r="C57" s="734"/>
      <c r="D57" s="734"/>
      <c r="E57" s="734"/>
      <c r="F57" s="734"/>
      <c r="G57" s="734"/>
      <c r="H57" s="734"/>
      <c r="I57" s="735"/>
      <c r="J57" s="147" t="s">
        <v>11</v>
      </c>
      <c r="K57" s="739" t="s">
        <v>15</v>
      </c>
      <c r="L57" s="739"/>
      <c r="M57" s="707">
        <v>46077</v>
      </c>
    </row>
    <row r="58" spans="1:15" ht="14.25" x14ac:dyDescent="0.2">
      <c r="A58" s="22" t="s">
        <v>1</v>
      </c>
      <c r="B58" s="736" t="s">
        <v>215</v>
      </c>
      <c r="C58" s="737"/>
      <c r="D58" s="737"/>
      <c r="E58" s="737"/>
      <c r="F58" s="737"/>
      <c r="G58" s="737"/>
      <c r="H58" s="737"/>
      <c r="I58" s="738"/>
      <c r="J58" s="146">
        <v>7000</v>
      </c>
      <c r="K58" s="739"/>
      <c r="L58" s="739"/>
    </row>
    <row r="59" spans="1:15" ht="15" x14ac:dyDescent="0.25">
      <c r="A59" s="726" t="s">
        <v>3</v>
      </c>
      <c r="B59" s="726" t="s">
        <v>126</v>
      </c>
      <c r="C59" s="760" t="s">
        <v>17</v>
      </c>
      <c r="D59" s="761"/>
      <c r="E59" s="761"/>
      <c r="F59" s="762"/>
      <c r="G59" s="512" t="s">
        <v>90</v>
      </c>
      <c r="H59" s="730" t="s">
        <v>10</v>
      </c>
      <c r="I59" s="730"/>
      <c r="J59" s="81" t="s">
        <v>12</v>
      </c>
      <c r="K59" s="726" t="s">
        <v>3</v>
      </c>
      <c r="L59" s="117" t="s">
        <v>13</v>
      </c>
    </row>
    <row r="60" spans="1:15" x14ac:dyDescent="0.2">
      <c r="A60" s="726"/>
      <c r="B60" s="726"/>
      <c r="C60" s="85" t="s">
        <v>4</v>
      </c>
      <c r="D60" s="85" t="s">
        <v>6</v>
      </c>
      <c r="E60" s="87" t="s">
        <v>5</v>
      </c>
      <c r="F60" s="86" t="s">
        <v>7</v>
      </c>
      <c r="G60" s="513" t="s">
        <v>206</v>
      </c>
      <c r="H60" s="80" t="s">
        <v>8</v>
      </c>
      <c r="I60" s="457" t="s">
        <v>23</v>
      </c>
      <c r="J60" s="457" t="s">
        <v>23</v>
      </c>
      <c r="K60" s="726"/>
      <c r="L60" s="117" t="s">
        <v>14</v>
      </c>
    </row>
    <row r="61" spans="1:15" x14ac:dyDescent="0.2">
      <c r="A61" s="669" t="s">
        <v>182</v>
      </c>
      <c r="B61" s="670">
        <v>45931</v>
      </c>
      <c r="C61" s="671">
        <v>1330668</v>
      </c>
      <c r="D61" s="671">
        <v>1038960</v>
      </c>
      <c r="E61" s="671">
        <v>1198800</v>
      </c>
      <c r="F61" s="671">
        <v>932400</v>
      </c>
      <c r="G61" s="592"/>
      <c r="H61" s="672"/>
      <c r="I61" s="673">
        <v>0.96</v>
      </c>
      <c r="J61" s="674"/>
      <c r="K61" s="122"/>
      <c r="L61" s="4"/>
    </row>
    <row r="62" spans="1:15" x14ac:dyDescent="0.2">
      <c r="A62" s="121">
        <v>46039</v>
      </c>
      <c r="B62" s="430">
        <v>24325</v>
      </c>
      <c r="C62" s="6">
        <v>100</v>
      </c>
      <c r="D62" s="7">
        <v>150</v>
      </c>
      <c r="E62" s="7">
        <v>100</v>
      </c>
      <c r="F62" s="11">
        <v>150</v>
      </c>
      <c r="G62" s="214">
        <f t="shared" ref="G62:G69" si="19">C62*14.4+D62*12+E62*14.4+F62*12</f>
        <v>6480</v>
      </c>
      <c r="H62" s="137">
        <f>(C62*C$61+D62*D$61+E62*E$61+F62*F$61)*I$61</f>
        <v>526704768</v>
      </c>
      <c r="I62" s="8">
        <f t="shared" ref="I62:I69" si="20">C62+D62+E62+F62</f>
        <v>500</v>
      </c>
      <c r="J62" s="9">
        <f>J58-I62</f>
        <v>6500</v>
      </c>
      <c r="K62" s="121">
        <f>'[1]Area I '!$D$12</f>
        <v>46071</v>
      </c>
      <c r="L62" s="10">
        <f t="shared" ref="L62:L69" si="21">K62-A62</f>
        <v>32</v>
      </c>
      <c r="O62" s="34"/>
    </row>
    <row r="63" spans="1:15" x14ac:dyDescent="0.2">
      <c r="A63" s="121">
        <v>46064</v>
      </c>
      <c r="B63" s="440">
        <v>24332</v>
      </c>
      <c r="C63" s="6">
        <v>50</v>
      </c>
      <c r="D63" s="7">
        <v>250</v>
      </c>
      <c r="E63" s="7">
        <v>50</v>
      </c>
      <c r="F63" s="11">
        <v>150</v>
      </c>
      <c r="G63" s="214">
        <f t="shared" si="19"/>
        <v>6240</v>
      </c>
      <c r="H63" s="137">
        <f t="shared" ref="H63:H77" si="22">(C63*C$61+D63*D$61+E63*E$61+F63*F$61)*I$61</f>
        <v>505030464</v>
      </c>
      <c r="I63" s="8">
        <f t="shared" si="20"/>
        <v>500</v>
      </c>
      <c r="J63" s="9">
        <f t="shared" ref="J63:J68" si="23">J62-I63</f>
        <v>6000</v>
      </c>
      <c r="K63" s="121">
        <f>'[1]Area I '!$D$14</f>
        <v>46093</v>
      </c>
      <c r="L63" s="10">
        <f t="shared" si="21"/>
        <v>29</v>
      </c>
      <c r="O63" s="34"/>
    </row>
    <row r="64" spans="1:15" x14ac:dyDescent="0.2">
      <c r="A64" s="121">
        <v>46081</v>
      </c>
      <c r="B64" s="440">
        <v>24337</v>
      </c>
      <c r="C64" s="6">
        <v>50</v>
      </c>
      <c r="D64" s="7">
        <v>250</v>
      </c>
      <c r="E64" s="7">
        <v>50</v>
      </c>
      <c r="F64" s="11">
        <v>150</v>
      </c>
      <c r="G64" s="214">
        <f t="shared" si="19"/>
        <v>6240</v>
      </c>
      <c r="H64" s="137">
        <f t="shared" si="22"/>
        <v>505030464</v>
      </c>
      <c r="I64" s="8">
        <f t="shared" si="20"/>
        <v>500</v>
      </c>
      <c r="J64" s="9">
        <f t="shared" si="23"/>
        <v>5500</v>
      </c>
      <c r="K64" s="121">
        <f>'[1]Area I '!$D$16</f>
        <v>0</v>
      </c>
      <c r="L64" s="10">
        <f t="shared" si="21"/>
        <v>-46081</v>
      </c>
      <c r="O64" s="34"/>
    </row>
    <row r="65" spans="1:15" x14ac:dyDescent="0.2">
      <c r="A65" s="121"/>
      <c r="B65" s="440"/>
      <c r="C65" s="6"/>
      <c r="D65" s="7"/>
      <c r="E65" s="7"/>
      <c r="F65" s="11"/>
      <c r="G65" s="214">
        <f t="shared" si="19"/>
        <v>0</v>
      </c>
      <c r="H65" s="137">
        <f t="shared" si="22"/>
        <v>0</v>
      </c>
      <c r="I65" s="8">
        <f t="shared" si="20"/>
        <v>0</v>
      </c>
      <c r="J65" s="9">
        <f t="shared" si="23"/>
        <v>5500</v>
      </c>
      <c r="K65" s="121"/>
      <c r="L65" s="10">
        <f t="shared" si="21"/>
        <v>0</v>
      </c>
      <c r="O65" s="34"/>
    </row>
    <row r="66" spans="1:15" x14ac:dyDescent="0.2">
      <c r="A66" s="121"/>
      <c r="B66" s="430"/>
      <c r="C66" s="6"/>
      <c r="D66" s="7"/>
      <c r="E66" s="7"/>
      <c r="F66" s="11"/>
      <c r="G66" s="214">
        <f t="shared" si="19"/>
        <v>0</v>
      </c>
      <c r="H66" s="137">
        <f t="shared" si="22"/>
        <v>0</v>
      </c>
      <c r="I66" s="8">
        <f t="shared" si="20"/>
        <v>0</v>
      </c>
      <c r="J66" s="9">
        <f t="shared" si="23"/>
        <v>5500</v>
      </c>
      <c r="K66" s="121"/>
      <c r="L66" s="10">
        <f t="shared" si="21"/>
        <v>0</v>
      </c>
      <c r="O66" s="34"/>
    </row>
    <row r="67" spans="1:15" x14ac:dyDescent="0.2">
      <c r="A67" s="121"/>
      <c r="B67" s="430"/>
      <c r="C67" s="6"/>
      <c r="D67" s="7"/>
      <c r="E67" s="7"/>
      <c r="F67" s="11"/>
      <c r="G67" s="214">
        <f t="shared" si="19"/>
        <v>0</v>
      </c>
      <c r="H67" s="137">
        <f t="shared" si="22"/>
        <v>0</v>
      </c>
      <c r="I67" s="8">
        <f t="shared" si="20"/>
        <v>0</v>
      </c>
      <c r="J67" s="9">
        <f t="shared" si="23"/>
        <v>5500</v>
      </c>
      <c r="K67" s="121"/>
      <c r="L67" s="10">
        <f t="shared" si="21"/>
        <v>0</v>
      </c>
      <c r="O67" s="34"/>
    </row>
    <row r="68" spans="1:15" x14ac:dyDescent="0.2">
      <c r="A68" s="121"/>
      <c r="B68" s="430"/>
      <c r="C68" s="6"/>
      <c r="D68" s="7"/>
      <c r="E68" s="7"/>
      <c r="F68" s="11"/>
      <c r="G68" s="214">
        <f t="shared" si="19"/>
        <v>0</v>
      </c>
      <c r="H68" s="137">
        <f t="shared" si="22"/>
        <v>0</v>
      </c>
      <c r="I68" s="8">
        <f t="shared" si="20"/>
        <v>0</v>
      </c>
      <c r="J68" s="9">
        <f t="shared" si="23"/>
        <v>5500</v>
      </c>
      <c r="K68" s="121"/>
      <c r="L68" s="10">
        <f t="shared" si="21"/>
        <v>0</v>
      </c>
    </row>
    <row r="69" spans="1:15" x14ac:dyDescent="0.2">
      <c r="A69" s="121"/>
      <c r="B69" s="474"/>
      <c r="C69" s="283"/>
      <c r="D69" s="483"/>
      <c r="E69" s="483"/>
      <c r="F69" s="484"/>
      <c r="G69" s="485">
        <f t="shared" si="19"/>
        <v>0</v>
      </c>
      <c r="H69" s="137">
        <f t="shared" si="22"/>
        <v>0</v>
      </c>
      <c r="I69" s="284">
        <f t="shared" si="20"/>
        <v>0</v>
      </c>
      <c r="J69" s="349">
        <f t="shared" ref="J69:J77" si="24">J68-I69</f>
        <v>5500</v>
      </c>
      <c r="K69" s="121"/>
      <c r="L69" s="10">
        <f t="shared" si="21"/>
        <v>0</v>
      </c>
      <c r="O69" s="34"/>
    </row>
    <row r="70" spans="1:15" x14ac:dyDescent="0.2">
      <c r="A70" s="121"/>
      <c r="B70" s="430"/>
      <c r="C70" s="6"/>
      <c r="D70" s="7"/>
      <c r="E70" s="7"/>
      <c r="F70" s="11"/>
      <c r="G70" s="214">
        <f t="shared" ref="G70:G77" si="25">C70*14.4+D70*12+E70*14.4+F70*12</f>
        <v>0</v>
      </c>
      <c r="H70" s="137">
        <f t="shared" si="22"/>
        <v>0</v>
      </c>
      <c r="I70" s="8">
        <f t="shared" ref="I70:I77" si="26">C70+D70+E70+F70</f>
        <v>0</v>
      </c>
      <c r="J70" s="9">
        <f t="shared" si="24"/>
        <v>5500</v>
      </c>
      <c r="K70" s="121"/>
      <c r="L70" s="10">
        <f t="shared" ref="L70:L77" si="27">K70-A70</f>
        <v>0</v>
      </c>
      <c r="O70" s="34"/>
    </row>
    <row r="71" spans="1:15" x14ac:dyDescent="0.2">
      <c r="A71" s="465"/>
      <c r="B71" s="430"/>
      <c r="C71" s="6"/>
      <c r="D71" s="7"/>
      <c r="E71" s="7"/>
      <c r="F71" s="11"/>
      <c r="G71" s="214">
        <f t="shared" si="25"/>
        <v>0</v>
      </c>
      <c r="H71" s="137">
        <f t="shared" si="22"/>
        <v>0</v>
      </c>
      <c r="I71" s="8">
        <f t="shared" si="26"/>
        <v>0</v>
      </c>
      <c r="J71" s="9">
        <f t="shared" si="24"/>
        <v>5500</v>
      </c>
      <c r="K71" s="121"/>
      <c r="L71" s="10">
        <f t="shared" si="27"/>
        <v>0</v>
      </c>
      <c r="O71" s="34"/>
    </row>
    <row r="72" spans="1:15" x14ac:dyDescent="0.2">
      <c r="A72" s="121"/>
      <c r="B72" s="430"/>
      <c r="C72" s="6"/>
      <c r="D72" s="7"/>
      <c r="E72" s="7"/>
      <c r="F72" s="11"/>
      <c r="G72" s="214">
        <f t="shared" si="25"/>
        <v>0</v>
      </c>
      <c r="H72" s="137">
        <f t="shared" si="22"/>
        <v>0</v>
      </c>
      <c r="I72" s="8">
        <f t="shared" si="26"/>
        <v>0</v>
      </c>
      <c r="J72" s="9">
        <f t="shared" si="24"/>
        <v>5500</v>
      </c>
      <c r="K72" s="121"/>
      <c r="L72" s="10">
        <f t="shared" si="27"/>
        <v>0</v>
      </c>
    </row>
    <row r="73" spans="1:15" x14ac:dyDescent="0.2">
      <c r="A73" s="465"/>
      <c r="B73" s="430"/>
      <c r="C73" s="6"/>
      <c r="D73" s="7"/>
      <c r="E73" s="7"/>
      <c r="F73" s="11"/>
      <c r="G73" s="214">
        <f t="shared" si="25"/>
        <v>0</v>
      </c>
      <c r="H73" s="137">
        <f t="shared" si="22"/>
        <v>0</v>
      </c>
      <c r="I73" s="8">
        <f t="shared" si="26"/>
        <v>0</v>
      </c>
      <c r="J73" s="9">
        <f t="shared" si="24"/>
        <v>5500</v>
      </c>
      <c r="K73" s="121"/>
      <c r="L73" s="10">
        <f t="shared" si="27"/>
        <v>0</v>
      </c>
      <c r="O73" s="34"/>
    </row>
    <row r="74" spans="1:15" x14ac:dyDescent="0.2">
      <c r="A74" s="121"/>
      <c r="B74" s="430"/>
      <c r="C74" s="6"/>
      <c r="D74" s="7"/>
      <c r="E74" s="7"/>
      <c r="F74" s="11"/>
      <c r="G74" s="214">
        <f t="shared" si="25"/>
        <v>0</v>
      </c>
      <c r="H74" s="137">
        <f t="shared" si="22"/>
        <v>0</v>
      </c>
      <c r="I74" s="8">
        <f t="shared" si="26"/>
        <v>0</v>
      </c>
      <c r="J74" s="9">
        <f t="shared" si="24"/>
        <v>5500</v>
      </c>
      <c r="K74" s="121"/>
      <c r="L74" s="10">
        <f t="shared" si="27"/>
        <v>0</v>
      </c>
      <c r="O74" s="34"/>
    </row>
    <row r="75" spans="1:15" x14ac:dyDescent="0.2">
      <c r="A75" s="121"/>
      <c r="B75" s="430"/>
      <c r="C75" s="6"/>
      <c r="D75" s="7"/>
      <c r="E75" s="7"/>
      <c r="F75" s="11"/>
      <c r="G75" s="214">
        <f t="shared" si="25"/>
        <v>0</v>
      </c>
      <c r="H75" s="137">
        <f t="shared" si="22"/>
        <v>0</v>
      </c>
      <c r="I75" s="8">
        <f t="shared" si="26"/>
        <v>0</v>
      </c>
      <c r="J75" s="9">
        <f t="shared" si="24"/>
        <v>5500</v>
      </c>
      <c r="K75" s="121"/>
      <c r="L75" s="10">
        <f t="shared" si="27"/>
        <v>0</v>
      </c>
      <c r="O75" s="34"/>
    </row>
    <row r="76" spans="1:15" x14ac:dyDescent="0.2">
      <c r="A76" s="121"/>
      <c r="B76" s="430"/>
      <c r="C76" s="6"/>
      <c r="D76" s="7"/>
      <c r="E76" s="7"/>
      <c r="F76" s="11"/>
      <c r="G76" s="214">
        <f t="shared" si="25"/>
        <v>0</v>
      </c>
      <c r="H76" s="137">
        <f t="shared" si="22"/>
        <v>0</v>
      </c>
      <c r="I76" s="8">
        <f t="shared" si="26"/>
        <v>0</v>
      </c>
      <c r="J76" s="9">
        <f t="shared" si="24"/>
        <v>5500</v>
      </c>
      <c r="K76" s="121"/>
      <c r="L76" s="10">
        <f t="shared" si="27"/>
        <v>0</v>
      </c>
    </row>
    <row r="77" spans="1:15" x14ac:dyDescent="0.2">
      <c r="A77" s="121"/>
      <c r="B77" s="430"/>
      <c r="C77" s="6"/>
      <c r="D77" s="7"/>
      <c r="E77" s="7"/>
      <c r="F77" s="11"/>
      <c r="G77" s="214">
        <f t="shared" si="25"/>
        <v>0</v>
      </c>
      <c r="H77" s="137">
        <f t="shared" si="22"/>
        <v>0</v>
      </c>
      <c r="I77" s="8">
        <f t="shared" si="26"/>
        <v>0</v>
      </c>
      <c r="J77" s="9">
        <f t="shared" si="24"/>
        <v>5500</v>
      </c>
      <c r="K77" s="121"/>
      <c r="L77" s="10">
        <f t="shared" si="27"/>
        <v>0</v>
      </c>
    </row>
    <row r="78" spans="1:15" x14ac:dyDescent="0.2">
      <c r="A78" s="731" t="s">
        <v>18</v>
      </c>
      <c r="B78" s="732"/>
      <c r="C78" s="235">
        <f t="shared" ref="C78:I78" si="28">SUM(C62:C77)</f>
        <v>200</v>
      </c>
      <c r="D78" s="235">
        <f t="shared" si="28"/>
        <v>650</v>
      </c>
      <c r="E78" s="90">
        <f t="shared" si="28"/>
        <v>200</v>
      </c>
      <c r="F78" s="90">
        <f t="shared" si="28"/>
        <v>450</v>
      </c>
      <c r="G78" s="534">
        <f t="shared" si="28"/>
        <v>18960</v>
      </c>
      <c r="H78" s="79">
        <f t="shared" si="28"/>
        <v>1536765696</v>
      </c>
      <c r="I78" s="52">
        <f t="shared" si="28"/>
        <v>1500</v>
      </c>
      <c r="J78" s="49">
        <f>J58-I78</f>
        <v>5500</v>
      </c>
      <c r="K78" s="121"/>
      <c r="L78" s="4"/>
    </row>
    <row r="79" spans="1:15" x14ac:dyDescent="0.2">
      <c r="A79" s="776" t="s">
        <v>47</v>
      </c>
      <c r="B79" s="777"/>
      <c r="C79" s="779">
        <f>SUM(C78:F78)</f>
        <v>1500</v>
      </c>
      <c r="D79" s="780"/>
      <c r="E79" s="780"/>
      <c r="F79" s="781"/>
      <c r="G79" s="219"/>
      <c r="H79" s="57" t="s">
        <v>46</v>
      </c>
      <c r="I79" s="58">
        <f>I78/J58%</f>
        <v>21.428571428571427</v>
      </c>
      <c r="J79" s="348">
        <f>J78/J58%</f>
        <v>78.571428571428569</v>
      </c>
      <c r="K79" s="121"/>
      <c r="L79" s="4"/>
    </row>
    <row r="80" spans="1:15" x14ac:dyDescent="0.2">
      <c r="A80" s="16"/>
      <c r="B80" s="125"/>
      <c r="C80" s="17"/>
      <c r="D80" s="17"/>
      <c r="E80" s="17"/>
      <c r="F80" s="17"/>
      <c r="G80" s="17"/>
      <c r="H80" s="18"/>
      <c r="I80" s="36"/>
      <c r="J80" s="37"/>
      <c r="K80" s="125"/>
      <c r="L80" s="16"/>
    </row>
    <row r="81" spans="1:13" x14ac:dyDescent="0.2">
      <c r="A81" s="29"/>
      <c r="B81" s="129"/>
      <c r="C81" s="27"/>
      <c r="D81" s="27"/>
      <c r="E81" s="27"/>
      <c r="F81" s="27"/>
      <c r="G81" s="27"/>
      <c r="H81" s="28"/>
      <c r="I81" s="40"/>
      <c r="J81" s="41"/>
      <c r="K81" s="129"/>
      <c r="L81" s="29"/>
    </row>
    <row r="82" spans="1:13" ht="18" x14ac:dyDescent="0.25">
      <c r="A82" s="149" t="s">
        <v>0</v>
      </c>
      <c r="B82" s="733" t="s">
        <v>16</v>
      </c>
      <c r="C82" s="734"/>
      <c r="D82" s="734"/>
      <c r="E82" s="734"/>
      <c r="F82" s="734"/>
      <c r="G82" s="734"/>
      <c r="H82" s="734"/>
      <c r="I82" s="735"/>
      <c r="J82" s="145" t="s">
        <v>11</v>
      </c>
      <c r="K82" s="778" t="s">
        <v>15</v>
      </c>
      <c r="L82" s="778"/>
      <c r="M82" s="705">
        <v>46062</v>
      </c>
    </row>
    <row r="83" spans="1:13" ht="14.25" x14ac:dyDescent="0.2">
      <c r="A83" s="22" t="s">
        <v>1</v>
      </c>
      <c r="B83" s="736" t="s">
        <v>166</v>
      </c>
      <c r="C83" s="737"/>
      <c r="D83" s="737"/>
      <c r="E83" s="737"/>
      <c r="F83" s="737"/>
      <c r="G83" s="737"/>
      <c r="H83" s="737"/>
      <c r="I83" s="738"/>
      <c r="J83" s="146">
        <v>55000</v>
      </c>
      <c r="K83" s="739"/>
      <c r="L83" s="739"/>
    </row>
    <row r="84" spans="1:13" ht="15" x14ac:dyDescent="0.25">
      <c r="A84" s="726" t="s">
        <v>3</v>
      </c>
      <c r="B84" s="726" t="s">
        <v>126</v>
      </c>
      <c r="C84" s="760" t="s">
        <v>17</v>
      </c>
      <c r="D84" s="761"/>
      <c r="E84" s="761"/>
      <c r="F84" s="762"/>
      <c r="G84" s="512" t="s">
        <v>90</v>
      </c>
      <c r="H84" s="730" t="s">
        <v>10</v>
      </c>
      <c r="I84" s="730"/>
      <c r="J84" s="81" t="s">
        <v>12</v>
      </c>
      <c r="K84" s="726" t="s">
        <v>3</v>
      </c>
      <c r="L84" s="117" t="s">
        <v>13</v>
      </c>
    </row>
    <row r="85" spans="1:13" x14ac:dyDescent="0.2">
      <c r="A85" s="726"/>
      <c r="B85" s="726"/>
      <c r="C85" s="85" t="s">
        <v>4</v>
      </c>
      <c r="D85" s="85" t="s">
        <v>6</v>
      </c>
      <c r="E85" s="87" t="s">
        <v>5</v>
      </c>
      <c r="F85" s="86" t="s">
        <v>7</v>
      </c>
      <c r="G85" s="513" t="s">
        <v>206</v>
      </c>
      <c r="H85" s="80" t="s">
        <v>8</v>
      </c>
      <c r="I85" s="457" t="s">
        <v>23</v>
      </c>
      <c r="J85" s="457" t="s">
        <v>23</v>
      </c>
      <c r="K85" s="726"/>
      <c r="L85" s="117" t="s">
        <v>14</v>
      </c>
    </row>
    <row r="86" spans="1:13" x14ac:dyDescent="0.2">
      <c r="A86" s="669" t="s">
        <v>182</v>
      </c>
      <c r="B86" s="670">
        <v>45931</v>
      </c>
      <c r="C86" s="671">
        <v>1330668</v>
      </c>
      <c r="D86" s="671">
        <v>1038960</v>
      </c>
      <c r="E86" s="671">
        <v>1198800</v>
      </c>
      <c r="F86" s="671">
        <v>932400</v>
      </c>
      <c r="G86" s="592"/>
      <c r="H86" s="672"/>
      <c r="I86" s="675">
        <v>0.94</v>
      </c>
      <c r="J86" s="674"/>
      <c r="K86" s="122"/>
      <c r="L86" s="4"/>
    </row>
    <row r="87" spans="1:13" x14ac:dyDescent="0.2">
      <c r="A87" s="121">
        <v>46034</v>
      </c>
      <c r="B87" s="440">
        <v>24277</v>
      </c>
      <c r="C87" s="6">
        <v>0</v>
      </c>
      <c r="D87" s="7">
        <v>0</v>
      </c>
      <c r="E87" s="143">
        <v>0</v>
      </c>
      <c r="F87" s="11">
        <v>1000</v>
      </c>
      <c r="G87" s="214">
        <f>C87*14.4+D87*12+E87*14.4+F87*12</f>
        <v>12000</v>
      </c>
      <c r="H87" s="137">
        <f>(C87*C$86+D87*D$86+E87*E$86+F87*F$86)*I$86</f>
        <v>876456000</v>
      </c>
      <c r="I87" s="8">
        <f>C87+D87+E87+F87</f>
        <v>1000</v>
      </c>
      <c r="J87" s="9">
        <f>J83-I87</f>
        <v>54000</v>
      </c>
      <c r="K87" s="121">
        <f>'[1]Area 3'!$D$11</f>
        <v>46063</v>
      </c>
      <c r="L87" s="10">
        <f t="shared" ref="L87:L116" si="29">K87-A87</f>
        <v>29</v>
      </c>
    </row>
    <row r="88" spans="1:13" x14ac:dyDescent="0.2">
      <c r="A88" s="121">
        <v>46038</v>
      </c>
      <c r="B88" s="440">
        <v>24279</v>
      </c>
      <c r="C88" s="6">
        <v>500</v>
      </c>
      <c r="D88" s="7">
        <v>1000</v>
      </c>
      <c r="E88" s="6">
        <v>0</v>
      </c>
      <c r="F88" s="6">
        <v>500</v>
      </c>
      <c r="G88" s="214">
        <f t="shared" ref="G88:G105" si="30">C88*14.4+D88*12+E88*14.4+F88*12</f>
        <v>25200</v>
      </c>
      <c r="H88" s="137">
        <f t="shared" ref="H88:H128" si="31">(C88*C$86+D88*D$86+E88*E$86+F88*F$86)*I$86</f>
        <v>2040264360</v>
      </c>
      <c r="I88" s="8">
        <f t="shared" ref="I88:I105" si="32">C88+D88+E88+F88</f>
        <v>2000</v>
      </c>
      <c r="J88" s="9">
        <f>J87-I88</f>
        <v>52000</v>
      </c>
      <c r="K88" s="121">
        <f>'[1]Area 3'!$D$13</f>
        <v>46065</v>
      </c>
      <c r="L88" s="10">
        <f t="shared" si="29"/>
        <v>27</v>
      </c>
    </row>
    <row r="89" spans="1:13" x14ac:dyDescent="0.2">
      <c r="A89" s="121">
        <v>46055</v>
      </c>
      <c r="B89" s="440">
        <v>24281</v>
      </c>
      <c r="C89" s="6">
        <v>500</v>
      </c>
      <c r="D89" s="7">
        <v>1000</v>
      </c>
      <c r="E89" s="7">
        <v>0</v>
      </c>
      <c r="F89" s="11">
        <v>500</v>
      </c>
      <c r="G89" s="214">
        <f t="shared" si="30"/>
        <v>25200</v>
      </c>
      <c r="H89" s="137">
        <f t="shared" si="31"/>
        <v>2040264360</v>
      </c>
      <c r="I89" s="8">
        <f t="shared" si="32"/>
        <v>2000</v>
      </c>
      <c r="J89" s="9">
        <f t="shared" ref="J89:J100" si="33">J88-I89</f>
        <v>50000</v>
      </c>
      <c r="K89" s="121">
        <f>'[1]Area 3'!$D$14</f>
        <v>46084</v>
      </c>
      <c r="L89" s="10">
        <f t="shared" si="29"/>
        <v>29</v>
      </c>
      <c r="M89" s="699"/>
    </row>
    <row r="90" spans="1:13" x14ac:dyDescent="0.2">
      <c r="A90" s="121">
        <v>46066</v>
      </c>
      <c r="B90" s="440">
        <v>24288</v>
      </c>
      <c r="C90" s="6">
        <v>250</v>
      </c>
      <c r="D90" s="7">
        <v>500</v>
      </c>
      <c r="E90" s="7">
        <v>750</v>
      </c>
      <c r="F90" s="11">
        <v>500</v>
      </c>
      <c r="G90" s="214">
        <f t="shared" si="30"/>
        <v>26400</v>
      </c>
      <c r="H90" s="137">
        <f t="shared" si="31"/>
        <v>2084400180</v>
      </c>
      <c r="I90" s="8">
        <f t="shared" si="32"/>
        <v>2000</v>
      </c>
      <c r="J90" s="9">
        <f t="shared" si="33"/>
        <v>48000</v>
      </c>
      <c r="K90" s="121">
        <f>'[1]Area 3'!$D$16</f>
        <v>46093</v>
      </c>
      <c r="L90" s="10">
        <f t="shared" si="29"/>
        <v>27</v>
      </c>
    </row>
    <row r="91" spans="1:13" x14ac:dyDescent="0.2">
      <c r="A91" s="121">
        <v>46087</v>
      </c>
      <c r="B91" s="440">
        <v>24295</v>
      </c>
      <c r="C91" s="6">
        <v>0</v>
      </c>
      <c r="D91" s="7">
        <v>1000</v>
      </c>
      <c r="E91" s="7">
        <v>0</v>
      </c>
      <c r="F91" s="11">
        <v>1000</v>
      </c>
      <c r="G91" s="214">
        <f t="shared" si="30"/>
        <v>24000</v>
      </c>
      <c r="H91" s="137">
        <f t="shared" si="31"/>
        <v>1853078400</v>
      </c>
      <c r="I91" s="8">
        <f t="shared" si="32"/>
        <v>2000</v>
      </c>
      <c r="J91" s="9">
        <f t="shared" si="33"/>
        <v>46000</v>
      </c>
      <c r="K91" s="121">
        <f>'[1]Area 3'!$D$18</f>
        <v>0</v>
      </c>
      <c r="L91" s="10">
        <f t="shared" si="29"/>
        <v>-46087</v>
      </c>
      <c r="M91" s="699"/>
    </row>
    <row r="92" spans="1:13" s="34" customFormat="1" x14ac:dyDescent="0.2">
      <c r="A92" s="121"/>
      <c r="B92" s="440"/>
      <c r="C92" s="6"/>
      <c r="D92" s="7"/>
      <c r="E92" s="7"/>
      <c r="F92" s="11"/>
      <c r="G92" s="214">
        <f t="shared" si="30"/>
        <v>0</v>
      </c>
      <c r="H92" s="137">
        <f t="shared" si="31"/>
        <v>0</v>
      </c>
      <c r="I92" s="8">
        <f t="shared" si="32"/>
        <v>0</v>
      </c>
      <c r="J92" s="9">
        <f t="shared" si="33"/>
        <v>46000</v>
      </c>
      <c r="K92" s="121"/>
      <c r="L92" s="10">
        <f t="shared" si="29"/>
        <v>0</v>
      </c>
      <c r="M92" s="700"/>
    </row>
    <row r="93" spans="1:13" s="34" customFormat="1" x14ac:dyDescent="0.2">
      <c r="A93" s="121"/>
      <c r="B93" s="440"/>
      <c r="C93" s="33"/>
      <c r="D93" s="143"/>
      <c r="E93" s="143"/>
      <c r="F93" s="144"/>
      <c r="G93" s="214">
        <f t="shared" si="30"/>
        <v>0</v>
      </c>
      <c r="H93" s="137">
        <f t="shared" si="31"/>
        <v>0</v>
      </c>
      <c r="I93" s="8">
        <f t="shared" si="32"/>
        <v>0</v>
      </c>
      <c r="J93" s="25">
        <f t="shared" si="33"/>
        <v>46000</v>
      </c>
      <c r="K93" s="121"/>
      <c r="L93" s="10">
        <f t="shared" si="29"/>
        <v>0</v>
      </c>
      <c r="M93" s="701"/>
    </row>
    <row r="94" spans="1:13" s="34" customFormat="1" x14ac:dyDescent="0.2">
      <c r="A94" s="473"/>
      <c r="B94" s="474"/>
      <c r="C94" s="283"/>
      <c r="D94" s="483"/>
      <c r="E94" s="483"/>
      <c r="F94" s="483"/>
      <c r="G94" s="485">
        <f t="shared" si="30"/>
        <v>0</v>
      </c>
      <c r="H94" s="137">
        <f t="shared" si="31"/>
        <v>0</v>
      </c>
      <c r="I94" s="284">
        <f t="shared" si="32"/>
        <v>0</v>
      </c>
      <c r="J94" s="349">
        <f t="shared" si="33"/>
        <v>46000</v>
      </c>
      <c r="K94" s="473"/>
      <c r="L94" s="486">
        <f t="shared" si="29"/>
        <v>0</v>
      </c>
      <c r="M94" s="700"/>
    </row>
    <row r="95" spans="1:13" s="34" customFormat="1" x14ac:dyDescent="0.2">
      <c r="A95" s="121"/>
      <c r="B95" s="430"/>
      <c r="C95" s="283"/>
      <c r="D95" s="483"/>
      <c r="E95" s="483"/>
      <c r="F95" s="483"/>
      <c r="G95" s="214">
        <f t="shared" si="30"/>
        <v>0</v>
      </c>
      <c r="H95" s="137">
        <f t="shared" si="31"/>
        <v>0</v>
      </c>
      <c r="I95" s="8">
        <f t="shared" si="32"/>
        <v>0</v>
      </c>
      <c r="J95" s="9">
        <f t="shared" si="33"/>
        <v>46000</v>
      </c>
      <c r="K95" s="121"/>
      <c r="L95" s="10">
        <f t="shared" si="29"/>
        <v>0</v>
      </c>
      <c r="M95" s="700"/>
    </row>
    <row r="96" spans="1:13" s="34" customFormat="1" x14ac:dyDescent="0.2">
      <c r="A96" s="121"/>
      <c r="B96" s="440"/>
      <c r="C96" s="6"/>
      <c r="D96" s="7"/>
      <c r="E96" s="7"/>
      <c r="F96" s="11"/>
      <c r="G96" s="214">
        <f t="shared" si="30"/>
        <v>0</v>
      </c>
      <c r="H96" s="137">
        <f t="shared" si="31"/>
        <v>0</v>
      </c>
      <c r="I96" s="8">
        <f t="shared" si="32"/>
        <v>0</v>
      </c>
      <c r="J96" s="9">
        <f t="shared" si="33"/>
        <v>46000</v>
      </c>
      <c r="K96" s="121"/>
      <c r="L96" s="10">
        <f t="shared" si="29"/>
        <v>0</v>
      </c>
      <c r="M96" s="700"/>
    </row>
    <row r="97" spans="1:13" s="34" customFormat="1" x14ac:dyDescent="0.2">
      <c r="A97" s="121"/>
      <c r="B97" s="440"/>
      <c r="C97" s="6"/>
      <c r="D97" s="7"/>
      <c r="E97" s="11"/>
      <c r="F97" s="11"/>
      <c r="G97" s="214">
        <f t="shared" si="30"/>
        <v>0</v>
      </c>
      <c r="H97" s="137">
        <f t="shared" si="31"/>
        <v>0</v>
      </c>
      <c r="I97" s="8">
        <f t="shared" si="32"/>
        <v>0</v>
      </c>
      <c r="J97" s="9">
        <f t="shared" si="33"/>
        <v>46000</v>
      </c>
      <c r="K97" s="121"/>
      <c r="L97" s="10">
        <f t="shared" si="29"/>
        <v>0</v>
      </c>
      <c r="M97" s="700"/>
    </row>
    <row r="98" spans="1:13" s="34" customFormat="1" x14ac:dyDescent="0.2">
      <c r="A98" s="121"/>
      <c r="B98" s="440"/>
      <c r="C98" s="6"/>
      <c r="D98" s="7"/>
      <c r="E98" s="7"/>
      <c r="F98" s="11"/>
      <c r="G98" s="214">
        <f t="shared" si="30"/>
        <v>0</v>
      </c>
      <c r="H98" s="137">
        <f t="shared" si="31"/>
        <v>0</v>
      </c>
      <c r="I98" s="8">
        <f t="shared" si="32"/>
        <v>0</v>
      </c>
      <c r="J98" s="9">
        <f t="shared" si="33"/>
        <v>46000</v>
      </c>
      <c r="K98" s="121"/>
      <c r="L98" s="10">
        <f t="shared" si="29"/>
        <v>0</v>
      </c>
      <c r="M98" s="701"/>
    </row>
    <row r="99" spans="1:13" s="34" customFormat="1" x14ac:dyDescent="0.2">
      <c r="A99" s="121"/>
      <c r="B99" s="440"/>
      <c r="C99" s="6"/>
      <c r="D99" s="7"/>
      <c r="E99" s="6"/>
      <c r="F99" s="6"/>
      <c r="G99" s="214">
        <f t="shared" si="30"/>
        <v>0</v>
      </c>
      <c r="H99" s="137">
        <f t="shared" si="31"/>
        <v>0</v>
      </c>
      <c r="I99" s="8">
        <f t="shared" si="32"/>
        <v>0</v>
      </c>
      <c r="J99" s="9">
        <f t="shared" si="33"/>
        <v>46000</v>
      </c>
      <c r="K99" s="121"/>
      <c r="L99" s="10">
        <f t="shared" si="29"/>
        <v>0</v>
      </c>
      <c r="M99" s="701"/>
    </row>
    <row r="100" spans="1:13" s="34" customFormat="1" x14ac:dyDescent="0.2">
      <c r="A100" s="121"/>
      <c r="B100" s="440"/>
      <c r="C100" s="463"/>
      <c r="D100" s="7"/>
      <c r="E100" s="7"/>
      <c r="F100" s="11"/>
      <c r="G100" s="214">
        <f t="shared" si="30"/>
        <v>0</v>
      </c>
      <c r="H100" s="137">
        <f t="shared" si="31"/>
        <v>0</v>
      </c>
      <c r="I100" s="8">
        <f t="shared" si="32"/>
        <v>0</v>
      </c>
      <c r="J100" s="9">
        <f t="shared" si="33"/>
        <v>46000</v>
      </c>
      <c r="K100" s="121"/>
      <c r="L100" s="10">
        <f t="shared" si="29"/>
        <v>0</v>
      </c>
      <c r="M100" s="701"/>
    </row>
    <row r="101" spans="1:13" s="34" customFormat="1" x14ac:dyDescent="0.2">
      <c r="A101" s="121"/>
      <c r="B101" s="440"/>
      <c r="C101" s="463"/>
      <c r="D101" s="7"/>
      <c r="E101" s="7"/>
      <c r="F101" s="11"/>
      <c r="G101" s="214">
        <f t="shared" si="30"/>
        <v>0</v>
      </c>
      <c r="H101" s="137">
        <f t="shared" si="31"/>
        <v>0</v>
      </c>
      <c r="I101" s="8">
        <f t="shared" si="32"/>
        <v>0</v>
      </c>
      <c r="J101" s="9">
        <f>J100-I101</f>
        <v>46000</v>
      </c>
      <c r="K101" s="121"/>
      <c r="L101" s="10">
        <f t="shared" si="29"/>
        <v>0</v>
      </c>
      <c r="M101" s="701"/>
    </row>
    <row r="102" spans="1:13" s="34" customFormat="1" x14ac:dyDescent="0.2">
      <c r="A102" s="121"/>
      <c r="B102" s="430"/>
      <c r="C102" s="463"/>
      <c r="D102" s="7"/>
      <c r="E102" s="7"/>
      <c r="F102" s="11"/>
      <c r="G102" s="214">
        <f t="shared" si="30"/>
        <v>0</v>
      </c>
      <c r="H102" s="137">
        <f t="shared" si="31"/>
        <v>0</v>
      </c>
      <c r="I102" s="8">
        <f t="shared" si="32"/>
        <v>0</v>
      </c>
      <c r="J102" s="9">
        <f t="shared" ref="J102:J115" si="34">J101-I102</f>
        <v>46000</v>
      </c>
      <c r="K102" s="121"/>
      <c r="L102" s="10">
        <f t="shared" si="29"/>
        <v>0</v>
      </c>
      <c r="M102" s="701"/>
    </row>
    <row r="103" spans="1:13" s="34" customFormat="1" x14ac:dyDescent="0.2">
      <c r="A103" s="121"/>
      <c r="B103" s="440"/>
      <c r="C103" s="6"/>
      <c r="D103" s="7"/>
      <c r="E103" s="7"/>
      <c r="F103" s="11"/>
      <c r="G103" s="214">
        <f t="shared" si="30"/>
        <v>0</v>
      </c>
      <c r="H103" s="137">
        <f t="shared" si="31"/>
        <v>0</v>
      </c>
      <c r="I103" s="8">
        <f t="shared" si="32"/>
        <v>0</v>
      </c>
      <c r="J103" s="9">
        <f t="shared" si="34"/>
        <v>46000</v>
      </c>
      <c r="K103" s="121"/>
      <c r="L103" s="10">
        <f t="shared" si="29"/>
        <v>0</v>
      </c>
      <c r="M103" s="701"/>
    </row>
    <row r="104" spans="1:13" s="34" customFormat="1" x14ac:dyDescent="0.2">
      <c r="A104" s="121"/>
      <c r="B104" s="440"/>
      <c r="C104" s="6"/>
      <c r="D104" s="7"/>
      <c r="E104" s="7"/>
      <c r="F104" s="11"/>
      <c r="G104" s="214">
        <f t="shared" si="30"/>
        <v>0</v>
      </c>
      <c r="H104" s="137">
        <f t="shared" si="31"/>
        <v>0</v>
      </c>
      <c r="I104" s="8">
        <f t="shared" si="32"/>
        <v>0</v>
      </c>
      <c r="J104" s="9">
        <f t="shared" si="34"/>
        <v>46000</v>
      </c>
      <c r="K104" s="121"/>
      <c r="L104" s="10">
        <f t="shared" si="29"/>
        <v>0</v>
      </c>
      <c r="M104" s="701"/>
    </row>
    <row r="105" spans="1:13" s="34" customFormat="1" x14ac:dyDescent="0.2">
      <c r="A105" s="121"/>
      <c r="B105" s="430"/>
      <c r="C105" s="6"/>
      <c r="D105" s="7"/>
      <c r="E105" s="7"/>
      <c r="F105" s="11"/>
      <c r="G105" s="214">
        <f t="shared" si="30"/>
        <v>0</v>
      </c>
      <c r="H105" s="137">
        <f t="shared" si="31"/>
        <v>0</v>
      </c>
      <c r="I105" s="8">
        <f t="shared" si="32"/>
        <v>0</v>
      </c>
      <c r="J105" s="9">
        <f t="shared" si="34"/>
        <v>46000</v>
      </c>
      <c r="K105" s="121"/>
      <c r="L105" s="10">
        <f t="shared" si="29"/>
        <v>0</v>
      </c>
      <c r="M105" s="701"/>
    </row>
    <row r="106" spans="1:13" s="34" customFormat="1" x14ac:dyDescent="0.2">
      <c r="A106" s="121"/>
      <c r="B106" s="440"/>
      <c r="C106" s="6"/>
      <c r="D106" s="7"/>
      <c r="E106" s="7"/>
      <c r="F106" s="11"/>
      <c r="G106" s="214">
        <f>C106*14.4+D106*12+E106*14.4+F106*12</f>
        <v>0</v>
      </c>
      <c r="H106" s="137">
        <f t="shared" si="31"/>
        <v>0</v>
      </c>
      <c r="I106" s="8">
        <f>C106+D106+E106+F106</f>
        <v>0</v>
      </c>
      <c r="J106" s="9">
        <f t="shared" si="34"/>
        <v>46000</v>
      </c>
      <c r="K106" s="121"/>
      <c r="L106" s="10">
        <f t="shared" si="29"/>
        <v>0</v>
      </c>
      <c r="M106" s="701"/>
    </row>
    <row r="107" spans="1:13" s="34" customFormat="1" x14ac:dyDescent="0.2">
      <c r="A107" s="121"/>
      <c r="B107" s="440"/>
      <c r="C107" s="6"/>
      <c r="D107" s="7"/>
      <c r="E107" s="7"/>
      <c r="F107" s="11"/>
      <c r="G107" s="214">
        <f>C107*14.4+D107*12+E107*14.4+F107*12</f>
        <v>0</v>
      </c>
      <c r="H107" s="137">
        <f t="shared" si="31"/>
        <v>0</v>
      </c>
      <c r="I107" s="8">
        <f>C107+D107+E107+F107</f>
        <v>0</v>
      </c>
      <c r="J107" s="9">
        <f t="shared" si="34"/>
        <v>46000</v>
      </c>
      <c r="K107" s="121"/>
      <c r="L107" s="10">
        <f t="shared" si="29"/>
        <v>0</v>
      </c>
      <c r="M107" s="701"/>
    </row>
    <row r="108" spans="1:13" s="34" customFormat="1" x14ac:dyDescent="0.2">
      <c r="A108" s="465"/>
      <c r="B108" s="440"/>
      <c r="C108" s="6"/>
      <c r="D108" s="7"/>
      <c r="E108" s="7"/>
      <c r="F108" s="11"/>
      <c r="G108" s="214">
        <f>C108*14.4+D108*12+E108*14.4+F108*12</f>
        <v>0</v>
      </c>
      <c r="H108" s="137">
        <f t="shared" si="31"/>
        <v>0</v>
      </c>
      <c r="I108" s="8">
        <f>C108+D108+E108+F108</f>
        <v>0</v>
      </c>
      <c r="J108" s="9">
        <f t="shared" si="34"/>
        <v>46000</v>
      </c>
      <c r="K108" s="121"/>
      <c r="L108" s="10">
        <f t="shared" si="29"/>
        <v>0</v>
      </c>
      <c r="M108" s="701"/>
    </row>
    <row r="109" spans="1:13" s="34" customFormat="1" x14ac:dyDescent="0.2">
      <c r="A109" s="121"/>
      <c r="B109" s="440"/>
      <c r="C109" s="6"/>
      <c r="D109" s="7"/>
      <c r="E109" s="7"/>
      <c r="F109" s="11"/>
      <c r="G109" s="214">
        <f>C109*14.4+D109*12+E109*14.4+F109*12</f>
        <v>0</v>
      </c>
      <c r="H109" s="137">
        <f t="shared" si="31"/>
        <v>0</v>
      </c>
      <c r="I109" s="8">
        <f>C109+D109+E109+F109</f>
        <v>0</v>
      </c>
      <c r="J109" s="9">
        <f t="shared" si="34"/>
        <v>46000</v>
      </c>
      <c r="K109" s="121"/>
      <c r="L109" s="10">
        <f t="shared" si="29"/>
        <v>0</v>
      </c>
      <c r="M109" s="701"/>
    </row>
    <row r="110" spans="1:13" s="34" customFormat="1" x14ac:dyDescent="0.2">
      <c r="A110" s="121"/>
      <c r="B110" s="440"/>
      <c r="C110" s="6"/>
      <c r="D110" s="7"/>
      <c r="E110" s="7"/>
      <c r="F110" s="11"/>
      <c r="G110" s="214">
        <f t="shared" ref="G110:G116" si="35">C110*14.4+D110*12+E110*14.4+F110*12</f>
        <v>0</v>
      </c>
      <c r="H110" s="137">
        <f t="shared" si="31"/>
        <v>0</v>
      </c>
      <c r="I110" s="8">
        <f t="shared" ref="I110:I115" si="36">C110+D110+E110+F110</f>
        <v>0</v>
      </c>
      <c r="J110" s="9">
        <f t="shared" si="34"/>
        <v>46000</v>
      </c>
      <c r="K110" s="121"/>
      <c r="L110" s="10">
        <f t="shared" si="29"/>
        <v>0</v>
      </c>
      <c r="M110" s="701"/>
    </row>
    <row r="111" spans="1:13" s="34" customFormat="1" x14ac:dyDescent="0.2">
      <c r="A111" s="121"/>
      <c r="B111" s="440"/>
      <c r="C111" s="6"/>
      <c r="D111" s="7"/>
      <c r="E111" s="7"/>
      <c r="F111" s="7"/>
      <c r="G111" s="214">
        <f t="shared" si="35"/>
        <v>0</v>
      </c>
      <c r="H111" s="137">
        <f t="shared" si="31"/>
        <v>0</v>
      </c>
      <c r="I111" s="8">
        <f t="shared" si="36"/>
        <v>0</v>
      </c>
      <c r="J111" s="9">
        <f t="shared" si="34"/>
        <v>46000</v>
      </c>
      <c r="K111" s="121"/>
      <c r="L111" s="10">
        <f t="shared" si="29"/>
        <v>0</v>
      </c>
      <c r="M111" s="701"/>
    </row>
    <row r="112" spans="1:13" s="34" customFormat="1" x14ac:dyDescent="0.2">
      <c r="A112" s="121"/>
      <c r="B112" s="440"/>
      <c r="C112" s="6"/>
      <c r="D112" s="7"/>
      <c r="E112" s="7"/>
      <c r="F112" s="11"/>
      <c r="G112" s="214">
        <f t="shared" si="35"/>
        <v>0</v>
      </c>
      <c r="H112" s="137">
        <f t="shared" si="31"/>
        <v>0</v>
      </c>
      <c r="I112" s="8">
        <f t="shared" si="36"/>
        <v>0</v>
      </c>
      <c r="J112" s="9">
        <f t="shared" si="34"/>
        <v>46000</v>
      </c>
      <c r="K112" s="121"/>
      <c r="L112" s="10">
        <f t="shared" si="29"/>
        <v>0</v>
      </c>
      <c r="M112" s="701"/>
    </row>
    <row r="113" spans="1:13" s="34" customFormat="1" x14ac:dyDescent="0.2">
      <c r="A113" s="556"/>
      <c r="B113" s="440"/>
      <c r="C113" s="6"/>
      <c r="D113" s="7"/>
      <c r="E113" s="7"/>
      <c r="F113" s="11"/>
      <c r="G113" s="485">
        <f t="shared" si="35"/>
        <v>0</v>
      </c>
      <c r="H113" s="137">
        <f t="shared" si="31"/>
        <v>0</v>
      </c>
      <c r="I113" s="284">
        <f t="shared" si="36"/>
        <v>0</v>
      </c>
      <c r="J113" s="349">
        <f t="shared" si="34"/>
        <v>46000</v>
      </c>
      <c r="K113" s="473"/>
      <c r="L113" s="486">
        <f t="shared" si="29"/>
        <v>0</v>
      </c>
      <c r="M113" s="701"/>
    </row>
    <row r="114" spans="1:13" s="34" customFormat="1" x14ac:dyDescent="0.2">
      <c r="A114" s="473"/>
      <c r="B114" s="557"/>
      <c r="C114" s="6"/>
      <c r="D114" s="7"/>
      <c r="E114" s="7"/>
      <c r="F114" s="7"/>
      <c r="G114" s="485">
        <f t="shared" si="35"/>
        <v>0</v>
      </c>
      <c r="H114" s="137">
        <f t="shared" si="31"/>
        <v>0</v>
      </c>
      <c r="I114" s="284">
        <f t="shared" si="36"/>
        <v>0</v>
      </c>
      <c r="J114" s="349">
        <f t="shared" si="34"/>
        <v>46000</v>
      </c>
      <c r="K114" s="473"/>
      <c r="L114" s="486">
        <f t="shared" si="29"/>
        <v>0</v>
      </c>
      <c r="M114" s="701"/>
    </row>
    <row r="115" spans="1:13" s="34" customFormat="1" x14ac:dyDescent="0.2">
      <c r="A115" s="473"/>
      <c r="B115" s="557"/>
      <c r="C115" s="283"/>
      <c r="D115" s="483"/>
      <c r="E115" s="483"/>
      <c r="F115" s="484"/>
      <c r="G115" s="485">
        <f t="shared" si="35"/>
        <v>0</v>
      </c>
      <c r="H115" s="137">
        <f t="shared" si="31"/>
        <v>0</v>
      </c>
      <c r="I115" s="284">
        <f t="shared" si="36"/>
        <v>0</v>
      </c>
      <c r="J115" s="716">
        <f t="shared" si="34"/>
        <v>46000</v>
      </c>
      <c r="K115" s="473"/>
      <c r="L115" s="486">
        <f t="shared" si="29"/>
        <v>0</v>
      </c>
      <c r="M115" s="701"/>
    </row>
    <row r="116" spans="1:13" s="34" customFormat="1" x14ac:dyDescent="0.2">
      <c r="A116" s="473"/>
      <c r="B116" s="557"/>
      <c r="C116" s="283"/>
      <c r="D116" s="483"/>
      <c r="E116" s="483"/>
      <c r="F116" s="484"/>
      <c r="G116" s="485">
        <f t="shared" si="35"/>
        <v>0</v>
      </c>
      <c r="H116" s="137">
        <f t="shared" si="31"/>
        <v>0</v>
      </c>
      <c r="I116" s="284">
        <f>C116+D116+E116+F116</f>
        <v>0</v>
      </c>
      <c r="J116" s="716">
        <f>J115-I116</f>
        <v>46000</v>
      </c>
      <c r="K116" s="473"/>
      <c r="L116" s="486">
        <f t="shared" si="29"/>
        <v>0</v>
      </c>
      <c r="M116" s="701"/>
    </row>
    <row r="117" spans="1:13" s="34" customFormat="1" x14ac:dyDescent="0.2">
      <c r="A117" s="473"/>
      <c r="B117" s="557"/>
      <c r="C117" s="283"/>
      <c r="D117" s="483"/>
      <c r="E117" s="483"/>
      <c r="F117" s="484"/>
      <c r="G117" s="485">
        <f>C117*14.4+D117*12+E117*14.4+F117*12</f>
        <v>0</v>
      </c>
      <c r="H117" s="137">
        <f t="shared" si="31"/>
        <v>0</v>
      </c>
      <c r="I117" s="284">
        <f>C117+D117+E117+F117</f>
        <v>0</v>
      </c>
      <c r="J117" s="716">
        <f>J116-I117</f>
        <v>46000</v>
      </c>
      <c r="K117" s="473"/>
      <c r="L117" s="486">
        <f>K117-A117</f>
        <v>0</v>
      </c>
      <c r="M117" s="701"/>
    </row>
    <row r="118" spans="1:13" s="34" customFormat="1" x14ac:dyDescent="0.2">
      <c r="A118" s="473"/>
      <c r="B118" s="557"/>
      <c r="C118" s="691"/>
      <c r="D118" s="692"/>
      <c r="E118" s="692"/>
      <c r="F118" s="693"/>
      <c r="G118" s="694">
        <f t="shared" ref="G118:G123" si="37">C118*14.4+D118*12+E118*14.4+F118*12</f>
        <v>0</v>
      </c>
      <c r="H118" s="137">
        <f t="shared" si="31"/>
        <v>0</v>
      </c>
      <c r="I118" s="695">
        <f t="shared" ref="I118:I123" si="38">C118+D118+E118+F118</f>
        <v>0</v>
      </c>
      <c r="J118" s="717">
        <f t="shared" ref="J118:J123" si="39">J117-I118</f>
        <v>46000</v>
      </c>
      <c r="K118" s="696"/>
      <c r="L118" s="697">
        <f t="shared" ref="L118:L123" si="40">K118-A118</f>
        <v>0</v>
      </c>
      <c r="M118" s="701"/>
    </row>
    <row r="119" spans="1:13" s="34" customFormat="1" x14ac:dyDescent="0.2">
      <c r="A119" s="473"/>
      <c r="B119" s="557"/>
      <c r="C119" s="283"/>
      <c r="D119" s="483"/>
      <c r="E119" s="483"/>
      <c r="F119" s="484"/>
      <c r="G119" s="485">
        <f t="shared" si="37"/>
        <v>0</v>
      </c>
      <c r="H119" s="137">
        <f t="shared" si="31"/>
        <v>0</v>
      </c>
      <c r="I119" s="284">
        <f t="shared" si="38"/>
        <v>0</v>
      </c>
      <c r="J119" s="716">
        <f t="shared" si="39"/>
        <v>46000</v>
      </c>
      <c r="K119" s="473"/>
      <c r="L119" s="486">
        <f t="shared" si="40"/>
        <v>0</v>
      </c>
      <c r="M119" s="701"/>
    </row>
    <row r="120" spans="1:13" s="34" customFormat="1" x14ac:dyDescent="0.2">
      <c r="A120" s="473"/>
      <c r="B120" s="557"/>
      <c r="C120" s="283"/>
      <c r="D120" s="483"/>
      <c r="E120" s="483"/>
      <c r="F120" s="484"/>
      <c r="G120" s="485">
        <f t="shared" si="37"/>
        <v>0</v>
      </c>
      <c r="H120" s="137">
        <f t="shared" si="31"/>
        <v>0</v>
      </c>
      <c r="I120" s="284">
        <f t="shared" si="38"/>
        <v>0</v>
      </c>
      <c r="J120" s="716">
        <f t="shared" si="39"/>
        <v>46000</v>
      </c>
      <c r="K120" s="473"/>
      <c r="L120" s="486">
        <f t="shared" si="40"/>
        <v>0</v>
      </c>
      <c r="M120" s="701"/>
    </row>
    <row r="121" spans="1:13" s="34" customFormat="1" x14ac:dyDescent="0.2">
      <c r="A121" s="473"/>
      <c r="B121" s="557"/>
      <c r="C121" s="283"/>
      <c r="D121" s="483"/>
      <c r="E121" s="483"/>
      <c r="F121" s="484"/>
      <c r="G121" s="485">
        <f t="shared" si="37"/>
        <v>0</v>
      </c>
      <c r="H121" s="137">
        <f t="shared" si="31"/>
        <v>0</v>
      </c>
      <c r="I121" s="284">
        <f t="shared" si="38"/>
        <v>0</v>
      </c>
      <c r="J121" s="716">
        <f t="shared" si="39"/>
        <v>46000</v>
      </c>
      <c r="K121" s="473"/>
      <c r="L121" s="486">
        <f t="shared" si="40"/>
        <v>0</v>
      </c>
      <c r="M121" s="701"/>
    </row>
    <row r="122" spans="1:13" s="34" customFormat="1" x14ac:dyDescent="0.2">
      <c r="A122" s="473"/>
      <c r="B122" s="557"/>
      <c r="C122" s="283"/>
      <c r="D122" s="483"/>
      <c r="E122" s="483"/>
      <c r="F122" s="484"/>
      <c r="G122" s="485">
        <f t="shared" si="37"/>
        <v>0</v>
      </c>
      <c r="H122" s="137">
        <f t="shared" si="31"/>
        <v>0</v>
      </c>
      <c r="I122" s="284">
        <f t="shared" si="38"/>
        <v>0</v>
      </c>
      <c r="J122" s="716">
        <f t="shared" si="39"/>
        <v>46000</v>
      </c>
      <c r="K122" s="473"/>
      <c r="L122" s="486">
        <f t="shared" si="40"/>
        <v>0</v>
      </c>
      <c r="M122" s="701"/>
    </row>
    <row r="123" spans="1:13" s="34" customFormat="1" x14ac:dyDescent="0.2">
      <c r="A123" s="473"/>
      <c r="B123" s="557"/>
      <c r="C123" s="283"/>
      <c r="D123" s="483"/>
      <c r="E123" s="483"/>
      <c r="F123" s="484"/>
      <c r="G123" s="485">
        <f t="shared" si="37"/>
        <v>0</v>
      </c>
      <c r="H123" s="137">
        <f t="shared" si="31"/>
        <v>0</v>
      </c>
      <c r="I123" s="284">
        <f t="shared" si="38"/>
        <v>0</v>
      </c>
      <c r="J123" s="716">
        <f t="shared" si="39"/>
        <v>46000</v>
      </c>
      <c r="K123" s="473"/>
      <c r="L123" s="486">
        <f t="shared" si="40"/>
        <v>0</v>
      </c>
      <c r="M123" s="701"/>
    </row>
    <row r="124" spans="1:13" s="34" customFormat="1" x14ac:dyDescent="0.2">
      <c r="A124" s="473"/>
      <c r="B124" s="557"/>
      <c r="C124" s="283"/>
      <c r="D124" s="483"/>
      <c r="E124" s="483"/>
      <c r="F124" s="484"/>
      <c r="G124" s="485">
        <f>C124*14.4+D124*12+E124*14.4+F124*12</f>
        <v>0</v>
      </c>
      <c r="H124" s="137">
        <f t="shared" si="31"/>
        <v>0</v>
      </c>
      <c r="I124" s="284">
        <f>C124+D124+E124+F124</f>
        <v>0</v>
      </c>
      <c r="J124" s="716">
        <f>J123-I124</f>
        <v>46000</v>
      </c>
      <c r="K124" s="473"/>
      <c r="L124" s="486">
        <f>K124-A124</f>
        <v>0</v>
      </c>
      <c r="M124" s="701"/>
    </row>
    <row r="125" spans="1:13" s="34" customFormat="1" x14ac:dyDescent="0.2">
      <c r="A125" s="473"/>
      <c r="B125" s="557"/>
      <c r="C125" s="283"/>
      <c r="D125" s="483"/>
      <c r="E125" s="483"/>
      <c r="F125" s="484"/>
      <c r="G125" s="485">
        <f>C125*14.4+D125*12+E125*14.4+F125*12</f>
        <v>0</v>
      </c>
      <c r="H125" s="137">
        <f t="shared" si="31"/>
        <v>0</v>
      </c>
      <c r="I125" s="284">
        <f>C125+D125+E125+F125</f>
        <v>0</v>
      </c>
      <c r="J125" s="716">
        <f>J124-I125</f>
        <v>46000</v>
      </c>
      <c r="K125" s="473"/>
      <c r="L125" s="486">
        <f>K125-A125</f>
        <v>0</v>
      </c>
      <c r="M125" s="701"/>
    </row>
    <row r="126" spans="1:13" s="34" customFormat="1" x14ac:dyDescent="0.2">
      <c r="A126" s="473"/>
      <c r="B126" s="557"/>
      <c r="C126" s="283"/>
      <c r="D126" s="483"/>
      <c r="E126" s="483"/>
      <c r="F126" s="484"/>
      <c r="G126" s="485">
        <f>C126*14.4+D126*12+E126*14.4+F126*12</f>
        <v>0</v>
      </c>
      <c r="H126" s="137">
        <f t="shared" si="31"/>
        <v>0</v>
      </c>
      <c r="I126" s="284">
        <f>C126+D126+E126+F126</f>
        <v>0</v>
      </c>
      <c r="J126" s="716">
        <f>J125-I126</f>
        <v>46000</v>
      </c>
      <c r="K126" s="473"/>
      <c r="L126" s="486">
        <f>K126-A126</f>
        <v>0</v>
      </c>
      <c r="M126" s="701"/>
    </row>
    <row r="127" spans="1:13" s="34" customFormat="1" x14ac:dyDescent="0.2">
      <c r="A127" s="473"/>
      <c r="B127" s="557"/>
      <c r="C127" s="283"/>
      <c r="D127" s="483"/>
      <c r="E127" s="483"/>
      <c r="F127" s="484"/>
      <c r="G127" s="485">
        <f>C127*14.4+D127*12+E127*14.4+F127*12</f>
        <v>0</v>
      </c>
      <c r="H127" s="137">
        <f t="shared" si="31"/>
        <v>0</v>
      </c>
      <c r="I127" s="284">
        <f>C127+D127+E127+F127</f>
        <v>0</v>
      </c>
      <c r="J127" s="716">
        <f>J126-I127</f>
        <v>46000</v>
      </c>
      <c r="K127" s="473"/>
      <c r="L127" s="486">
        <f>K127-A127</f>
        <v>0</v>
      </c>
      <c r="M127" s="701"/>
    </row>
    <row r="128" spans="1:13" s="34" customFormat="1" x14ac:dyDescent="0.2">
      <c r="A128" s="473"/>
      <c r="B128" s="557"/>
      <c r="C128" s="283"/>
      <c r="D128" s="483"/>
      <c r="E128" s="483"/>
      <c r="F128" s="484"/>
      <c r="G128" s="485">
        <f>C128*14.4+D128*12+E128*14.4+F128*12</f>
        <v>0</v>
      </c>
      <c r="H128" s="137">
        <f t="shared" si="31"/>
        <v>0</v>
      </c>
      <c r="I128" s="284">
        <f>C128+D128+E128+F128</f>
        <v>0</v>
      </c>
      <c r="J128" s="716">
        <f>J127-I128</f>
        <v>46000</v>
      </c>
      <c r="K128" s="473"/>
      <c r="L128" s="486">
        <f>K128-A128</f>
        <v>0</v>
      </c>
      <c r="M128" s="701"/>
    </row>
    <row r="129" spans="1:15" x14ac:dyDescent="0.2">
      <c r="A129" s="731" t="s">
        <v>18</v>
      </c>
      <c r="B129" s="732"/>
      <c r="C129" s="235">
        <f t="shared" ref="C129:I129" si="41">SUM(C87:C128)</f>
        <v>1250</v>
      </c>
      <c r="D129" s="235">
        <f t="shared" si="41"/>
        <v>3500</v>
      </c>
      <c r="E129" s="236">
        <f t="shared" si="41"/>
        <v>750</v>
      </c>
      <c r="F129" s="236">
        <f t="shared" si="41"/>
        <v>3500</v>
      </c>
      <c r="G129" s="535">
        <f t="shared" si="41"/>
        <v>112800</v>
      </c>
      <c r="H129" s="79">
        <f t="shared" si="41"/>
        <v>8894463300</v>
      </c>
      <c r="I129" s="48">
        <f t="shared" si="41"/>
        <v>9000</v>
      </c>
      <c r="J129" s="63">
        <f>J83-I129</f>
        <v>46000</v>
      </c>
      <c r="K129" s="122"/>
      <c r="L129" s="10"/>
    </row>
    <row r="130" spans="1:15" x14ac:dyDescent="0.2">
      <c r="A130" s="776" t="s">
        <v>47</v>
      </c>
      <c r="B130" s="777"/>
      <c r="C130" s="740">
        <f>SUM(C129:F129)</f>
        <v>9000</v>
      </c>
      <c r="D130" s="741"/>
      <c r="E130" s="741"/>
      <c r="F130" s="742"/>
      <c r="G130" s="221"/>
      <c r="H130" s="57" t="s">
        <v>46</v>
      </c>
      <c r="I130" s="51">
        <f>I129/J83%</f>
        <v>16.363636363636363</v>
      </c>
      <c r="J130" s="53">
        <f>J129/J83%</f>
        <v>83.63636363636364</v>
      </c>
      <c r="K130" s="121"/>
      <c r="L130" s="4"/>
    </row>
    <row r="131" spans="1:15" s="71" customFormat="1" x14ac:dyDescent="0.2">
      <c r="A131" s="657"/>
      <c r="B131" s="657"/>
      <c r="C131" s="658"/>
      <c r="D131" s="658"/>
      <c r="E131" s="658"/>
      <c r="F131" s="658"/>
      <c r="G131" s="659"/>
      <c r="H131" s="100"/>
      <c r="I131" s="660"/>
      <c r="J131" s="109"/>
      <c r="K131" s="441"/>
      <c r="L131" s="481"/>
      <c r="M131" s="400"/>
    </row>
    <row r="133" spans="1:15" ht="18" x14ac:dyDescent="0.25">
      <c r="A133" s="149" t="s">
        <v>0</v>
      </c>
      <c r="B133" s="733" t="s">
        <v>16</v>
      </c>
      <c r="C133" s="734"/>
      <c r="D133" s="734"/>
      <c r="E133" s="734"/>
      <c r="F133" s="734"/>
      <c r="G133" s="734"/>
      <c r="H133" s="734"/>
      <c r="I133" s="735"/>
      <c r="J133" s="70" t="s">
        <v>11</v>
      </c>
      <c r="K133" s="739" t="s">
        <v>15</v>
      </c>
      <c r="L133" s="739"/>
      <c r="M133" s="705">
        <v>46062</v>
      </c>
    </row>
    <row r="134" spans="1:15" ht="14.25" x14ac:dyDescent="0.2">
      <c r="A134" s="22" t="s">
        <v>1</v>
      </c>
      <c r="B134" s="736" t="s">
        <v>189</v>
      </c>
      <c r="C134" s="737"/>
      <c r="D134" s="737"/>
      <c r="E134" s="737"/>
      <c r="F134" s="737"/>
      <c r="G134" s="737"/>
      <c r="H134" s="737"/>
      <c r="I134" s="738"/>
      <c r="J134" s="69">
        <v>7500</v>
      </c>
      <c r="K134" s="739"/>
      <c r="L134" s="739"/>
    </row>
    <row r="135" spans="1:15" ht="15" x14ac:dyDescent="0.25">
      <c r="A135" s="726" t="s">
        <v>3</v>
      </c>
      <c r="B135" s="726" t="s">
        <v>126</v>
      </c>
      <c r="C135" s="760" t="s">
        <v>17</v>
      </c>
      <c r="D135" s="761"/>
      <c r="E135" s="761"/>
      <c r="F135" s="762"/>
      <c r="G135" s="512" t="s">
        <v>90</v>
      </c>
      <c r="H135" s="730" t="s">
        <v>10</v>
      </c>
      <c r="I135" s="730"/>
      <c r="J135" s="81" t="s">
        <v>12</v>
      </c>
      <c r="K135" s="726" t="s">
        <v>3</v>
      </c>
      <c r="L135" s="117" t="s">
        <v>13</v>
      </c>
    </row>
    <row r="136" spans="1:15" ht="12.75" customHeight="1" x14ac:dyDescent="0.2">
      <c r="A136" s="726"/>
      <c r="B136" s="726"/>
      <c r="C136" s="85" t="s">
        <v>4</v>
      </c>
      <c r="D136" s="85" t="s">
        <v>6</v>
      </c>
      <c r="E136" s="87" t="s">
        <v>5</v>
      </c>
      <c r="F136" s="86" t="s">
        <v>7</v>
      </c>
      <c r="G136" s="513" t="s">
        <v>206</v>
      </c>
      <c r="H136" s="80" t="s">
        <v>8</v>
      </c>
      <c r="I136" s="457" t="s">
        <v>23</v>
      </c>
      <c r="J136" s="457" t="s">
        <v>23</v>
      </c>
      <c r="K136" s="726"/>
      <c r="L136" s="117" t="s">
        <v>14</v>
      </c>
    </row>
    <row r="137" spans="1:15" x14ac:dyDescent="0.2">
      <c r="A137" s="669" t="s">
        <v>182</v>
      </c>
      <c r="B137" s="670">
        <v>45931</v>
      </c>
      <c r="C137" s="671">
        <v>1330668</v>
      </c>
      <c r="D137" s="671">
        <v>1038960</v>
      </c>
      <c r="E137" s="671">
        <v>1198800</v>
      </c>
      <c r="F137" s="671">
        <v>932400</v>
      </c>
      <c r="G137" s="592"/>
      <c r="H137" s="672"/>
      <c r="I137" s="673">
        <v>0.96</v>
      </c>
      <c r="J137" s="674"/>
      <c r="K137" s="122"/>
      <c r="L137" s="4"/>
    </row>
    <row r="138" spans="1:15" ht="12.75" customHeight="1" x14ac:dyDescent="0.2">
      <c r="A138" s="121">
        <v>46029</v>
      </c>
      <c r="B138" s="440">
        <v>24276</v>
      </c>
      <c r="C138" s="6">
        <v>100</v>
      </c>
      <c r="D138" s="7">
        <v>250</v>
      </c>
      <c r="E138" s="7">
        <v>50</v>
      </c>
      <c r="F138" s="11">
        <v>100</v>
      </c>
      <c r="G138" s="214">
        <f t="shared" ref="G138:G146" si="42">C138*14.4+D138*12+E138*14.4+F138*12</f>
        <v>6360</v>
      </c>
      <c r="H138" s="137">
        <f>(C138*C$137+D138*D$137+E138*E$137+F138*F$137)*I$137</f>
        <v>524147328</v>
      </c>
      <c r="I138" s="8">
        <f t="shared" ref="I138:I146" si="43">C138+D138+E138+F138</f>
        <v>500</v>
      </c>
      <c r="J138" s="9">
        <f>J134-I138</f>
        <v>7000</v>
      </c>
      <c r="K138" s="121">
        <f>'[1]Area 4'!$D$40</f>
        <v>46080</v>
      </c>
      <c r="L138" s="10">
        <f t="shared" ref="L138:L146" si="44">K138-A138</f>
        <v>51</v>
      </c>
      <c r="O138" s="34"/>
    </row>
    <row r="139" spans="1:15" ht="12.75" customHeight="1" x14ac:dyDescent="0.2">
      <c r="A139" s="121">
        <v>46062</v>
      </c>
      <c r="B139" s="440">
        <v>24283</v>
      </c>
      <c r="C139" s="6">
        <v>100</v>
      </c>
      <c r="D139" s="7">
        <v>200</v>
      </c>
      <c r="E139" s="7">
        <v>100</v>
      </c>
      <c r="F139" s="11">
        <v>100</v>
      </c>
      <c r="G139" s="214">
        <f t="shared" si="42"/>
        <v>6480</v>
      </c>
      <c r="H139" s="137">
        <f t="shared" ref="H139:H158" si="45">(C139*C$137+D139*D$137+E139*E$137+F139*F$137)*I$137</f>
        <v>531819648</v>
      </c>
      <c r="I139" s="8">
        <f t="shared" si="43"/>
        <v>500</v>
      </c>
      <c r="J139" s="9">
        <f t="shared" ref="J139:J145" si="46">J138-I139</f>
        <v>6500</v>
      </c>
      <c r="K139" s="121">
        <f>'[1]Area 4'!$D$41</f>
        <v>0</v>
      </c>
      <c r="L139" s="10">
        <f t="shared" si="44"/>
        <v>-46062</v>
      </c>
      <c r="O139" s="34"/>
    </row>
    <row r="140" spans="1:15" ht="12.75" customHeight="1" x14ac:dyDescent="0.2">
      <c r="A140" s="121">
        <v>46076</v>
      </c>
      <c r="B140" s="440">
        <v>24290</v>
      </c>
      <c r="C140" s="6">
        <v>0</v>
      </c>
      <c r="D140" s="7">
        <v>100</v>
      </c>
      <c r="E140" s="7">
        <v>0</v>
      </c>
      <c r="F140" s="11">
        <v>100</v>
      </c>
      <c r="G140" s="214">
        <f>C140*14.4+D140*12+E140*14.4+F140*12</f>
        <v>2400</v>
      </c>
      <c r="H140" s="137">
        <f t="shared" si="45"/>
        <v>189250560</v>
      </c>
      <c r="I140" s="8">
        <f t="shared" si="43"/>
        <v>200</v>
      </c>
      <c r="J140" s="9">
        <f t="shared" si="46"/>
        <v>6300</v>
      </c>
      <c r="K140" s="121">
        <f>'[1]Area 4'!$D$46</f>
        <v>0</v>
      </c>
      <c r="L140" s="10">
        <f t="shared" si="44"/>
        <v>-46076</v>
      </c>
      <c r="O140" s="34"/>
    </row>
    <row r="141" spans="1:15" ht="12.75" customHeight="1" x14ac:dyDescent="0.2">
      <c r="A141" s="121">
        <v>46087</v>
      </c>
      <c r="B141" s="440">
        <v>24296</v>
      </c>
      <c r="C141" s="6">
        <v>100</v>
      </c>
      <c r="D141" s="7">
        <v>200</v>
      </c>
      <c r="E141" s="7">
        <v>50</v>
      </c>
      <c r="F141" s="11">
        <v>150</v>
      </c>
      <c r="G141" s="214">
        <f t="shared" si="42"/>
        <v>6360</v>
      </c>
      <c r="H141" s="137">
        <f t="shared" si="45"/>
        <v>519032448</v>
      </c>
      <c r="I141" s="8">
        <f t="shared" si="43"/>
        <v>500</v>
      </c>
      <c r="J141" s="9">
        <f t="shared" si="46"/>
        <v>5800</v>
      </c>
      <c r="K141" s="121">
        <f>'[1]Area 4'!$D$48</f>
        <v>0</v>
      </c>
      <c r="L141" s="10">
        <f t="shared" si="44"/>
        <v>-46087</v>
      </c>
    </row>
    <row r="142" spans="1:15" ht="12.75" customHeight="1" x14ac:dyDescent="0.2">
      <c r="A142" s="121"/>
      <c r="B142" s="440"/>
      <c r="C142" s="6"/>
      <c r="D142" s="7"/>
      <c r="E142" s="7"/>
      <c r="F142" s="11"/>
      <c r="G142" s="214">
        <f t="shared" si="42"/>
        <v>0</v>
      </c>
      <c r="H142" s="137">
        <f t="shared" si="45"/>
        <v>0</v>
      </c>
      <c r="I142" s="8">
        <f t="shared" si="43"/>
        <v>0</v>
      </c>
      <c r="J142" s="9">
        <f t="shared" si="46"/>
        <v>5800</v>
      </c>
      <c r="K142" s="121"/>
      <c r="L142" s="10">
        <f t="shared" si="44"/>
        <v>0</v>
      </c>
      <c r="O142" s="34"/>
    </row>
    <row r="143" spans="1:15" ht="12.75" customHeight="1" x14ac:dyDescent="0.2">
      <c r="A143" s="121"/>
      <c r="B143" s="440"/>
      <c r="C143" s="6"/>
      <c r="D143" s="7"/>
      <c r="E143" s="7"/>
      <c r="F143" s="7"/>
      <c r="G143" s="214">
        <f t="shared" si="42"/>
        <v>0</v>
      </c>
      <c r="H143" s="137">
        <f t="shared" si="45"/>
        <v>0</v>
      </c>
      <c r="I143" s="8">
        <f t="shared" si="43"/>
        <v>0</v>
      </c>
      <c r="J143" s="9">
        <f t="shared" si="46"/>
        <v>5800</v>
      </c>
      <c r="K143" s="121"/>
      <c r="L143" s="10">
        <f t="shared" si="44"/>
        <v>0</v>
      </c>
      <c r="O143" s="34"/>
    </row>
    <row r="144" spans="1:15" ht="12.75" customHeight="1" x14ac:dyDescent="0.2">
      <c r="A144" s="121"/>
      <c r="B144" s="440"/>
      <c r="C144" s="6"/>
      <c r="D144" s="7"/>
      <c r="E144" s="7"/>
      <c r="F144" s="7"/>
      <c r="G144" s="214">
        <f t="shared" si="42"/>
        <v>0</v>
      </c>
      <c r="H144" s="137">
        <f t="shared" si="45"/>
        <v>0</v>
      </c>
      <c r="I144" s="8">
        <f t="shared" si="43"/>
        <v>0</v>
      </c>
      <c r="J144" s="9">
        <f t="shared" si="46"/>
        <v>5800</v>
      </c>
      <c r="K144" s="121"/>
      <c r="L144" s="10">
        <f t="shared" si="44"/>
        <v>0</v>
      </c>
    </row>
    <row r="145" spans="1:15" ht="12.75" customHeight="1" x14ac:dyDescent="0.2">
      <c r="A145" s="121"/>
      <c r="B145" s="440"/>
      <c r="C145" s="6"/>
      <c r="D145" s="7"/>
      <c r="E145" s="7"/>
      <c r="F145" s="7"/>
      <c r="G145" s="214">
        <f t="shared" si="42"/>
        <v>0</v>
      </c>
      <c r="H145" s="137">
        <f t="shared" si="45"/>
        <v>0</v>
      </c>
      <c r="I145" s="8">
        <f t="shared" si="43"/>
        <v>0</v>
      </c>
      <c r="J145" s="9">
        <f t="shared" si="46"/>
        <v>5800</v>
      </c>
      <c r="K145" s="121"/>
      <c r="L145" s="10">
        <f t="shared" si="44"/>
        <v>0</v>
      </c>
      <c r="O145" s="34"/>
    </row>
    <row r="146" spans="1:15" ht="12.75" customHeight="1" x14ac:dyDescent="0.2">
      <c r="A146" s="121"/>
      <c r="B146" s="440"/>
      <c r="C146" s="6"/>
      <c r="D146" s="7"/>
      <c r="E146" s="7"/>
      <c r="F146" s="7"/>
      <c r="G146" s="214">
        <f t="shared" si="42"/>
        <v>0</v>
      </c>
      <c r="H146" s="137">
        <f t="shared" si="45"/>
        <v>0</v>
      </c>
      <c r="I146" s="8">
        <f t="shared" si="43"/>
        <v>0</v>
      </c>
      <c r="J146" s="9">
        <f t="shared" ref="J146:J154" si="47">J145-I146</f>
        <v>5800</v>
      </c>
      <c r="K146" s="121"/>
      <c r="L146" s="10">
        <f t="shared" si="44"/>
        <v>0</v>
      </c>
    </row>
    <row r="147" spans="1:15" ht="12.75" customHeight="1" x14ac:dyDescent="0.2">
      <c r="A147" s="121"/>
      <c r="B147" s="440"/>
      <c r="C147" s="6"/>
      <c r="D147" s="7"/>
      <c r="E147" s="7"/>
      <c r="F147" s="7"/>
      <c r="G147" s="214">
        <f t="shared" ref="G147:G154" si="48">C147*14.4+D147*12+E147*14.4+F147*12</f>
        <v>0</v>
      </c>
      <c r="H147" s="137">
        <f t="shared" si="45"/>
        <v>0</v>
      </c>
      <c r="I147" s="8">
        <f t="shared" ref="I147:I154" si="49">C147+D147+E147+F147</f>
        <v>0</v>
      </c>
      <c r="J147" s="9">
        <f t="shared" si="47"/>
        <v>5800</v>
      </c>
      <c r="K147" s="121"/>
      <c r="L147" s="10">
        <f t="shared" ref="L147:L154" si="50">K147-A147</f>
        <v>0</v>
      </c>
      <c r="O147" s="34"/>
    </row>
    <row r="148" spans="1:15" ht="12.75" customHeight="1" x14ac:dyDescent="0.2">
      <c r="A148" s="121"/>
      <c r="B148" s="440"/>
      <c r="C148" s="6"/>
      <c r="D148" s="7"/>
      <c r="E148" s="7"/>
      <c r="F148" s="7"/>
      <c r="G148" s="214">
        <f t="shared" si="48"/>
        <v>0</v>
      </c>
      <c r="H148" s="137">
        <f t="shared" si="45"/>
        <v>0</v>
      </c>
      <c r="I148" s="8">
        <f t="shared" si="49"/>
        <v>0</v>
      </c>
      <c r="J148" s="9">
        <f t="shared" si="47"/>
        <v>5800</v>
      </c>
      <c r="K148" s="121"/>
      <c r="L148" s="10">
        <f t="shared" si="50"/>
        <v>0</v>
      </c>
    </row>
    <row r="149" spans="1:15" ht="12.75" customHeight="1" x14ac:dyDescent="0.2">
      <c r="A149" s="121"/>
      <c r="B149" s="440"/>
      <c r="C149" s="6"/>
      <c r="D149" s="7"/>
      <c r="E149" s="7"/>
      <c r="F149" s="7"/>
      <c r="G149" s="214">
        <f t="shared" si="48"/>
        <v>0</v>
      </c>
      <c r="H149" s="137">
        <f t="shared" si="45"/>
        <v>0</v>
      </c>
      <c r="I149" s="8">
        <f t="shared" si="49"/>
        <v>0</v>
      </c>
      <c r="J149" s="9">
        <f t="shared" si="47"/>
        <v>5800</v>
      </c>
      <c r="K149" s="121"/>
      <c r="L149" s="10">
        <f t="shared" si="50"/>
        <v>0</v>
      </c>
    </row>
    <row r="150" spans="1:15" x14ac:dyDescent="0.2">
      <c r="A150" s="121"/>
      <c r="B150" s="440"/>
      <c r="C150" s="6"/>
      <c r="D150" s="7"/>
      <c r="E150" s="7"/>
      <c r="F150" s="7"/>
      <c r="G150" s="214">
        <f t="shared" si="48"/>
        <v>0</v>
      </c>
      <c r="H150" s="137">
        <f t="shared" si="45"/>
        <v>0</v>
      </c>
      <c r="I150" s="8">
        <f t="shared" si="49"/>
        <v>0</v>
      </c>
      <c r="J150" s="9">
        <f t="shared" si="47"/>
        <v>5800</v>
      </c>
      <c r="K150" s="121"/>
      <c r="L150" s="10">
        <f t="shared" si="50"/>
        <v>0</v>
      </c>
    </row>
    <row r="151" spans="1:15" x14ac:dyDescent="0.2">
      <c r="A151" s="121"/>
      <c r="B151" s="440"/>
      <c r="C151" s="6"/>
      <c r="D151" s="7"/>
      <c r="E151" s="7"/>
      <c r="F151" s="7"/>
      <c r="G151" s="214">
        <f t="shared" si="48"/>
        <v>0</v>
      </c>
      <c r="H151" s="137">
        <f t="shared" si="45"/>
        <v>0</v>
      </c>
      <c r="I151" s="8">
        <f t="shared" si="49"/>
        <v>0</v>
      </c>
      <c r="J151" s="718">
        <f t="shared" si="47"/>
        <v>5800</v>
      </c>
      <c r="K151" s="121"/>
      <c r="L151" s="10">
        <f t="shared" si="50"/>
        <v>0</v>
      </c>
    </row>
    <row r="152" spans="1:15" x14ac:dyDescent="0.2">
      <c r="A152" s="121"/>
      <c r="B152" s="440"/>
      <c r="C152" s="6"/>
      <c r="D152" s="7"/>
      <c r="E152" s="7"/>
      <c r="F152" s="7"/>
      <c r="G152" s="214">
        <f t="shared" si="48"/>
        <v>0</v>
      </c>
      <c r="H152" s="137">
        <f t="shared" si="45"/>
        <v>0</v>
      </c>
      <c r="I152" s="8">
        <f t="shared" si="49"/>
        <v>0</v>
      </c>
      <c r="J152" s="718">
        <f t="shared" si="47"/>
        <v>5800</v>
      </c>
      <c r="K152" s="121"/>
      <c r="L152" s="10">
        <f t="shared" si="50"/>
        <v>0</v>
      </c>
    </row>
    <row r="153" spans="1:15" x14ac:dyDescent="0.2">
      <c r="A153" s="121"/>
      <c r="B153" s="440"/>
      <c r="C153" s="6"/>
      <c r="D153" s="7"/>
      <c r="E153" s="7"/>
      <c r="F153" s="7"/>
      <c r="G153" s="214">
        <f t="shared" si="48"/>
        <v>0</v>
      </c>
      <c r="H153" s="137">
        <f t="shared" si="45"/>
        <v>0</v>
      </c>
      <c r="I153" s="8">
        <f t="shared" si="49"/>
        <v>0</v>
      </c>
      <c r="J153" s="718">
        <f t="shared" si="47"/>
        <v>5800</v>
      </c>
      <c r="K153" s="121"/>
      <c r="L153" s="10">
        <f t="shared" si="50"/>
        <v>0</v>
      </c>
    </row>
    <row r="154" spans="1:15" x14ac:dyDescent="0.2">
      <c r="A154" s="121"/>
      <c r="B154" s="440"/>
      <c r="C154" s="283"/>
      <c r="D154" s="483"/>
      <c r="E154" s="483"/>
      <c r="F154" s="483"/>
      <c r="G154" s="485">
        <f t="shared" si="48"/>
        <v>0</v>
      </c>
      <c r="H154" s="137">
        <f t="shared" si="45"/>
        <v>0</v>
      </c>
      <c r="I154" s="284">
        <f t="shared" si="49"/>
        <v>0</v>
      </c>
      <c r="J154" s="718">
        <f t="shared" si="47"/>
        <v>5800</v>
      </c>
      <c r="K154" s="121"/>
      <c r="L154" s="10">
        <f t="shared" si="50"/>
        <v>0</v>
      </c>
    </row>
    <row r="155" spans="1:15" x14ac:dyDescent="0.2">
      <c r="A155" s="121"/>
      <c r="B155" s="440"/>
      <c r="C155" s="6"/>
      <c r="D155" s="7"/>
      <c r="E155" s="7"/>
      <c r="F155" s="7"/>
      <c r="G155" s="485">
        <f>C155*14.4+D155*12+E155*14.4+F155*12</f>
        <v>0</v>
      </c>
      <c r="H155" s="137">
        <f t="shared" si="45"/>
        <v>0</v>
      </c>
      <c r="I155" s="284">
        <f>C155+D155+E155+F155</f>
        <v>0</v>
      </c>
      <c r="J155" s="718">
        <f>J154-I155</f>
        <v>5800</v>
      </c>
      <c r="K155" s="121"/>
      <c r="L155" s="10">
        <f>K155-A155</f>
        <v>0</v>
      </c>
    </row>
    <row r="156" spans="1:15" x14ac:dyDescent="0.2">
      <c r="A156" s="121"/>
      <c r="B156" s="440"/>
      <c r="C156" s="6"/>
      <c r="D156" s="7"/>
      <c r="E156" s="7"/>
      <c r="F156" s="7"/>
      <c r="G156" s="485">
        <f>C156*14.4+D156*12+E156*14.4+F156*12</f>
        <v>0</v>
      </c>
      <c r="H156" s="137">
        <f t="shared" si="45"/>
        <v>0</v>
      </c>
      <c r="I156" s="284">
        <f>C156+D156+E156+F156</f>
        <v>0</v>
      </c>
      <c r="J156" s="718">
        <f>J155-I156</f>
        <v>5800</v>
      </c>
      <c r="K156" s="121"/>
      <c r="L156" s="10">
        <f>K156-A156</f>
        <v>0</v>
      </c>
    </row>
    <row r="157" spans="1:15" x14ac:dyDescent="0.2">
      <c r="A157" s="121"/>
      <c r="B157" s="440"/>
      <c r="C157" s="6"/>
      <c r="D157" s="7"/>
      <c r="E157" s="7"/>
      <c r="F157" s="7"/>
      <c r="G157" s="485">
        <f>C157*14.4+D157*12+E157*14.4+F157*12</f>
        <v>0</v>
      </c>
      <c r="H157" s="137">
        <f t="shared" si="45"/>
        <v>0</v>
      </c>
      <c r="I157" s="284">
        <f>C157+D157+E157+F157</f>
        <v>0</v>
      </c>
      <c r="J157" s="718">
        <f>J156-I157</f>
        <v>5800</v>
      </c>
      <c r="K157" s="121"/>
      <c r="L157" s="10">
        <f>K157-A157</f>
        <v>0</v>
      </c>
    </row>
    <row r="158" spans="1:15" x14ac:dyDescent="0.2">
      <c r="A158" s="121"/>
      <c r="B158" s="440"/>
      <c r="C158" s="6"/>
      <c r="D158" s="7"/>
      <c r="E158" s="7"/>
      <c r="F158" s="7"/>
      <c r="G158" s="485">
        <f>C158*14.4+D158*12+E158*14.4+F158*12</f>
        <v>0</v>
      </c>
      <c r="H158" s="137">
        <f t="shared" si="45"/>
        <v>0</v>
      </c>
      <c r="I158" s="284">
        <f>C158+D158+E158+F158</f>
        <v>0</v>
      </c>
      <c r="J158" s="718">
        <f>J157-I158</f>
        <v>5800</v>
      </c>
      <c r="K158" s="121"/>
      <c r="L158" s="10">
        <f>K158-A158</f>
        <v>0</v>
      </c>
    </row>
    <row r="159" spans="1:15" x14ac:dyDescent="0.2">
      <c r="A159" s="731" t="s">
        <v>18</v>
      </c>
      <c r="B159" s="732"/>
      <c r="C159" s="542">
        <f t="shared" ref="C159:I159" si="51">SUM(C138:C158)</f>
        <v>300</v>
      </c>
      <c r="D159" s="542">
        <f t="shared" si="51"/>
        <v>750</v>
      </c>
      <c r="E159" s="543">
        <f t="shared" si="51"/>
        <v>200</v>
      </c>
      <c r="F159" s="543">
        <f t="shared" si="51"/>
        <v>450</v>
      </c>
      <c r="G159" s="536">
        <f t="shared" si="51"/>
        <v>21600</v>
      </c>
      <c r="H159" s="544">
        <f t="shared" si="51"/>
        <v>1764249984</v>
      </c>
      <c r="I159" s="48">
        <f t="shared" si="51"/>
        <v>1700</v>
      </c>
      <c r="J159" s="719">
        <f>J134-I159</f>
        <v>5800</v>
      </c>
      <c r="K159" s="121"/>
      <c r="L159" s="10"/>
    </row>
    <row r="160" spans="1:15" x14ac:dyDescent="0.2">
      <c r="A160" s="776" t="s">
        <v>47</v>
      </c>
      <c r="B160" s="777"/>
      <c r="C160" s="740">
        <f>SUM(C159:F159)</f>
        <v>1700</v>
      </c>
      <c r="D160" s="741"/>
      <c r="E160" s="741"/>
      <c r="F160" s="742"/>
      <c r="G160" s="221"/>
      <c r="H160" s="57" t="s">
        <v>46</v>
      </c>
      <c r="I160" s="51">
        <f>I159/J134%</f>
        <v>22.666666666666668</v>
      </c>
      <c r="J160" s="53">
        <f>J159/J134%</f>
        <v>77.333333333333329</v>
      </c>
      <c r="K160" s="121"/>
      <c r="L160" s="4"/>
    </row>
    <row r="161" spans="1:13" x14ac:dyDescent="0.2">
      <c r="A161" s="16"/>
      <c r="B161" s="125"/>
      <c r="C161" s="17"/>
      <c r="D161" s="17"/>
      <c r="E161" s="17"/>
      <c r="F161" s="17"/>
      <c r="G161" s="17"/>
      <c r="H161" s="18"/>
      <c r="I161" s="35"/>
      <c r="J161" s="19"/>
      <c r="K161" s="125"/>
      <c r="L161" s="16"/>
    </row>
    <row r="163" spans="1:13" ht="18" x14ac:dyDescent="0.25">
      <c r="A163" s="149" t="s">
        <v>0</v>
      </c>
      <c r="B163" s="733" t="s">
        <v>16</v>
      </c>
      <c r="C163" s="734"/>
      <c r="D163" s="734"/>
      <c r="E163" s="734"/>
      <c r="F163" s="734"/>
      <c r="G163" s="734"/>
      <c r="H163" s="734"/>
      <c r="I163" s="735"/>
      <c r="J163" s="70" t="s">
        <v>11</v>
      </c>
      <c r="K163" s="739" t="s">
        <v>15</v>
      </c>
      <c r="L163" s="739"/>
      <c r="M163" s="705">
        <v>46062</v>
      </c>
    </row>
    <row r="164" spans="1:13" ht="14.25" x14ac:dyDescent="0.2">
      <c r="A164" s="22" t="s">
        <v>1</v>
      </c>
      <c r="B164" s="736" t="s">
        <v>217</v>
      </c>
      <c r="C164" s="737"/>
      <c r="D164" s="737"/>
      <c r="E164" s="737"/>
      <c r="F164" s="737"/>
      <c r="G164" s="737"/>
      <c r="H164" s="737"/>
      <c r="I164" s="738"/>
      <c r="J164" s="69">
        <v>5000</v>
      </c>
      <c r="K164" s="739"/>
      <c r="L164" s="739"/>
    </row>
    <row r="165" spans="1:13" ht="15" x14ac:dyDescent="0.25">
      <c r="A165" s="726" t="s">
        <v>3</v>
      </c>
      <c r="B165" s="726" t="s">
        <v>126</v>
      </c>
      <c r="C165" s="760" t="s">
        <v>17</v>
      </c>
      <c r="D165" s="761"/>
      <c r="E165" s="761"/>
      <c r="F165" s="762"/>
      <c r="G165" s="512" t="s">
        <v>90</v>
      </c>
      <c r="H165" s="730" t="s">
        <v>10</v>
      </c>
      <c r="I165" s="730"/>
      <c r="J165" s="81" t="s">
        <v>12</v>
      </c>
      <c r="K165" s="726" t="s">
        <v>3</v>
      </c>
      <c r="L165" s="117" t="s">
        <v>13</v>
      </c>
    </row>
    <row r="166" spans="1:13" x14ac:dyDescent="0.2">
      <c r="A166" s="726"/>
      <c r="B166" s="726"/>
      <c r="C166" s="85" t="s">
        <v>4</v>
      </c>
      <c r="D166" s="85" t="s">
        <v>6</v>
      </c>
      <c r="E166" s="87" t="s">
        <v>5</v>
      </c>
      <c r="F166" s="86" t="s">
        <v>7</v>
      </c>
      <c r="G166" s="513" t="s">
        <v>206</v>
      </c>
      <c r="H166" s="80" t="s">
        <v>8</v>
      </c>
      <c r="I166" s="286" t="s">
        <v>23</v>
      </c>
      <c r="J166" s="286" t="s">
        <v>23</v>
      </c>
      <c r="K166" s="726"/>
      <c r="L166" s="117" t="s">
        <v>14</v>
      </c>
    </row>
    <row r="167" spans="1:13" x14ac:dyDescent="0.2">
      <c r="A167" s="669" t="s">
        <v>182</v>
      </c>
      <c r="B167" s="670">
        <v>45931</v>
      </c>
      <c r="C167" s="671">
        <v>1330668</v>
      </c>
      <c r="D167" s="671">
        <v>1038960</v>
      </c>
      <c r="E167" s="671">
        <v>1198800</v>
      </c>
      <c r="F167" s="671">
        <v>932400</v>
      </c>
      <c r="G167" s="592"/>
      <c r="H167" s="672"/>
      <c r="I167" s="673">
        <v>0.96</v>
      </c>
      <c r="J167" s="674"/>
      <c r="K167" s="122"/>
      <c r="L167" s="4"/>
    </row>
    <row r="168" spans="1:13" s="32" customFormat="1" x14ac:dyDescent="0.2">
      <c r="A168" s="465">
        <v>46081</v>
      </c>
      <c r="B168" s="430">
        <v>24293</v>
      </c>
      <c r="C168" s="33">
        <v>25</v>
      </c>
      <c r="D168" s="33">
        <v>300</v>
      </c>
      <c r="E168" s="33">
        <v>25</v>
      </c>
      <c r="F168" s="33">
        <v>150</v>
      </c>
      <c r="G168" s="214">
        <f t="shared" ref="G168:G173" si="52">C168*14.4+D168*12+E168*14.4+F168*12</f>
        <v>6120</v>
      </c>
      <c r="H168" s="137">
        <f>(C168*C$167+D168*D$167+E168*E$167+F168*F$167)*I$167</f>
        <v>494193312</v>
      </c>
      <c r="I168" s="8">
        <f t="shared" ref="I168:I173" si="53">C168+D168+E168+F168</f>
        <v>500</v>
      </c>
      <c r="J168" s="25">
        <f>J164-I168</f>
        <v>4500</v>
      </c>
      <c r="K168" s="121">
        <f>'[1]Area 4'!$D$11</f>
        <v>0</v>
      </c>
      <c r="L168" s="15">
        <f t="shared" ref="L168:L173" si="54">K168-A168</f>
        <v>-46081</v>
      </c>
      <c r="M168" s="702"/>
    </row>
    <row r="169" spans="1:13" x14ac:dyDescent="0.2">
      <c r="A169" s="121"/>
      <c r="B169" s="440"/>
      <c r="C169" s="33"/>
      <c r="D169" s="33"/>
      <c r="E169" s="33"/>
      <c r="F169" s="33"/>
      <c r="G169" s="214">
        <f t="shared" si="52"/>
        <v>0</v>
      </c>
      <c r="H169" s="137">
        <f t="shared" ref="H169:H179" si="55">(C169*C$167+D169*D$167+E169*E$167+F169*F$167)*I$167</f>
        <v>0</v>
      </c>
      <c r="I169" s="8">
        <f t="shared" si="53"/>
        <v>0</v>
      </c>
      <c r="J169" s="9">
        <f t="shared" ref="J169:J176" si="56">J168-I169</f>
        <v>4500</v>
      </c>
      <c r="K169" s="121"/>
      <c r="L169" s="540">
        <f t="shared" si="54"/>
        <v>0</v>
      </c>
    </row>
    <row r="170" spans="1:13" x14ac:dyDescent="0.2">
      <c r="A170" s="121"/>
      <c r="B170" s="430"/>
      <c r="C170" s="33"/>
      <c r="D170" s="33"/>
      <c r="E170" s="33"/>
      <c r="F170" s="33"/>
      <c r="G170" s="214">
        <f t="shared" si="52"/>
        <v>0</v>
      </c>
      <c r="H170" s="137">
        <f t="shared" si="55"/>
        <v>0</v>
      </c>
      <c r="I170" s="8">
        <f t="shared" si="53"/>
        <v>0</v>
      </c>
      <c r="J170" s="9">
        <f t="shared" si="56"/>
        <v>4500</v>
      </c>
      <c r="K170" s="121"/>
      <c r="L170" s="540">
        <f t="shared" si="54"/>
        <v>0</v>
      </c>
    </row>
    <row r="171" spans="1:13" x14ac:dyDescent="0.2">
      <c r="A171" s="121"/>
      <c r="B171" s="440"/>
      <c r="C171" s="33"/>
      <c r="D171" s="33"/>
      <c r="E171" s="33"/>
      <c r="F171" s="33"/>
      <c r="G171" s="214">
        <f t="shared" si="52"/>
        <v>0</v>
      </c>
      <c r="H171" s="137">
        <f t="shared" si="55"/>
        <v>0</v>
      </c>
      <c r="I171" s="8">
        <f t="shared" si="53"/>
        <v>0</v>
      </c>
      <c r="J171" s="9">
        <f t="shared" si="56"/>
        <v>4500</v>
      </c>
      <c r="K171" s="121"/>
      <c r="L171" s="540">
        <f t="shared" si="54"/>
        <v>0</v>
      </c>
    </row>
    <row r="172" spans="1:13" x14ac:dyDescent="0.2">
      <c r="A172" s="121"/>
      <c r="B172" s="440"/>
      <c r="C172" s="33"/>
      <c r="D172" s="33"/>
      <c r="E172" s="33"/>
      <c r="F172" s="33"/>
      <c r="G172" s="214">
        <f t="shared" si="52"/>
        <v>0</v>
      </c>
      <c r="H172" s="137">
        <f t="shared" si="55"/>
        <v>0</v>
      </c>
      <c r="I172" s="8">
        <f t="shared" si="53"/>
        <v>0</v>
      </c>
      <c r="J172" s="9">
        <f t="shared" si="56"/>
        <v>4500</v>
      </c>
      <c r="K172" s="121"/>
      <c r="L172" s="10">
        <f t="shared" si="54"/>
        <v>0</v>
      </c>
    </row>
    <row r="173" spans="1:13" x14ac:dyDescent="0.2">
      <c r="A173" s="121"/>
      <c r="B173" s="440"/>
      <c r="C173" s="33"/>
      <c r="D173" s="33"/>
      <c r="E173" s="33"/>
      <c r="F173" s="33"/>
      <c r="G173" s="214">
        <f t="shared" si="52"/>
        <v>0</v>
      </c>
      <c r="H173" s="137">
        <f t="shared" si="55"/>
        <v>0</v>
      </c>
      <c r="I173" s="8">
        <f t="shared" si="53"/>
        <v>0</v>
      </c>
      <c r="J173" s="9">
        <f t="shared" si="56"/>
        <v>4500</v>
      </c>
      <c r="K173" s="121"/>
      <c r="L173" s="10">
        <f t="shared" si="54"/>
        <v>0</v>
      </c>
    </row>
    <row r="174" spans="1:13" x14ac:dyDescent="0.2">
      <c r="A174" s="121"/>
      <c r="B174" s="440"/>
      <c r="C174" s="33"/>
      <c r="D174" s="33"/>
      <c r="E174" s="33"/>
      <c r="F174" s="33"/>
      <c r="G174" s="214">
        <f t="shared" ref="G174:G179" si="57">C174*14.4+D174*12+E174*14.4+F174*12</f>
        <v>0</v>
      </c>
      <c r="H174" s="137">
        <f t="shared" si="55"/>
        <v>0</v>
      </c>
      <c r="I174" s="8">
        <f t="shared" ref="I174:I179" si="58">C174+D174+E174+F174</f>
        <v>0</v>
      </c>
      <c r="J174" s="9">
        <f t="shared" si="56"/>
        <v>4500</v>
      </c>
      <c r="K174" s="121"/>
      <c r="L174" s="10">
        <f t="shared" ref="L174:L179" si="59">K174-A174</f>
        <v>0</v>
      </c>
    </row>
    <row r="175" spans="1:13" x14ac:dyDescent="0.2">
      <c r="A175" s="121"/>
      <c r="B175" s="440"/>
      <c r="C175" s="33"/>
      <c r="D175" s="33"/>
      <c r="E175" s="33"/>
      <c r="F175" s="33"/>
      <c r="G175" s="214">
        <f t="shared" si="57"/>
        <v>0</v>
      </c>
      <c r="H175" s="137">
        <f t="shared" si="55"/>
        <v>0</v>
      </c>
      <c r="I175" s="8">
        <f t="shared" si="58"/>
        <v>0</v>
      </c>
      <c r="J175" s="9">
        <f t="shared" si="56"/>
        <v>4500</v>
      </c>
      <c r="K175" s="121"/>
      <c r="L175" s="10">
        <f t="shared" si="59"/>
        <v>0</v>
      </c>
    </row>
    <row r="176" spans="1:13" x14ac:dyDescent="0.2">
      <c r="A176" s="121"/>
      <c r="B176" s="440"/>
      <c r="C176" s="33"/>
      <c r="D176" s="33"/>
      <c r="E176" s="33"/>
      <c r="F176" s="33"/>
      <c r="G176" s="214">
        <f t="shared" si="57"/>
        <v>0</v>
      </c>
      <c r="H176" s="137">
        <f t="shared" si="55"/>
        <v>0</v>
      </c>
      <c r="I176" s="8">
        <f t="shared" si="58"/>
        <v>0</v>
      </c>
      <c r="J176" s="9">
        <f t="shared" si="56"/>
        <v>4500</v>
      </c>
      <c r="K176" s="121"/>
      <c r="L176" s="10">
        <f t="shared" si="59"/>
        <v>0</v>
      </c>
    </row>
    <row r="177" spans="1:13" x14ac:dyDescent="0.2">
      <c r="A177" s="121"/>
      <c r="B177" s="440"/>
      <c r="C177" s="654"/>
      <c r="D177" s="654"/>
      <c r="E177" s="654"/>
      <c r="F177" s="654"/>
      <c r="G177" s="485">
        <f t="shared" si="57"/>
        <v>0</v>
      </c>
      <c r="H177" s="137">
        <f t="shared" si="55"/>
        <v>0</v>
      </c>
      <c r="I177" s="284">
        <f t="shared" si="58"/>
        <v>0</v>
      </c>
      <c r="J177" s="9">
        <f>J176-I177</f>
        <v>4500</v>
      </c>
      <c r="K177" s="121"/>
      <c r="L177" s="10">
        <f t="shared" si="59"/>
        <v>0</v>
      </c>
    </row>
    <row r="178" spans="1:13" x14ac:dyDescent="0.2">
      <c r="A178" s="121"/>
      <c r="B178" s="440"/>
      <c r="C178" s="33"/>
      <c r="D178" s="33"/>
      <c r="E178" s="33"/>
      <c r="F178" s="33"/>
      <c r="G178" s="214">
        <f t="shared" si="57"/>
        <v>0</v>
      </c>
      <c r="H178" s="137">
        <f t="shared" si="55"/>
        <v>0</v>
      </c>
      <c r="I178" s="8">
        <f t="shared" si="58"/>
        <v>0</v>
      </c>
      <c r="J178" s="9">
        <f>J177-I178</f>
        <v>4500</v>
      </c>
      <c r="K178" s="121"/>
      <c r="L178" s="10">
        <f t="shared" si="59"/>
        <v>0</v>
      </c>
    </row>
    <row r="179" spans="1:13" x14ac:dyDescent="0.2">
      <c r="A179" s="121"/>
      <c r="B179" s="440"/>
      <c r="C179" s="33"/>
      <c r="D179" s="33"/>
      <c r="E179" s="33"/>
      <c r="F179" s="33"/>
      <c r="G179" s="214">
        <f t="shared" si="57"/>
        <v>0</v>
      </c>
      <c r="H179" s="137">
        <f t="shared" si="55"/>
        <v>0</v>
      </c>
      <c r="I179" s="8">
        <f t="shared" si="58"/>
        <v>0</v>
      </c>
      <c r="J179" s="9">
        <f>J178-I179</f>
        <v>4500</v>
      </c>
      <c r="K179" s="121"/>
      <c r="L179" s="10">
        <f t="shared" si="59"/>
        <v>0</v>
      </c>
    </row>
    <row r="180" spans="1:13" x14ac:dyDescent="0.2">
      <c r="A180" s="731" t="s">
        <v>18</v>
      </c>
      <c r="B180" s="732"/>
      <c r="C180" s="235">
        <f t="shared" ref="C180:I180" si="60">SUM(C168:C179)</f>
        <v>25</v>
      </c>
      <c r="D180" s="235">
        <f t="shared" si="60"/>
        <v>300</v>
      </c>
      <c r="E180" s="90">
        <f t="shared" si="60"/>
        <v>25</v>
      </c>
      <c r="F180" s="90">
        <f t="shared" si="60"/>
        <v>150</v>
      </c>
      <c r="G180" s="537">
        <f t="shared" si="60"/>
        <v>6120</v>
      </c>
      <c r="H180" s="79">
        <f t="shared" si="60"/>
        <v>494193312</v>
      </c>
      <c r="I180" s="48">
        <f t="shared" si="60"/>
        <v>500</v>
      </c>
      <c r="J180" s="590">
        <f>J164-I180</f>
        <v>4500</v>
      </c>
      <c r="K180" s="121"/>
      <c r="L180" s="10"/>
    </row>
    <row r="181" spans="1:13" x14ac:dyDescent="0.2">
      <c r="A181" s="776" t="s">
        <v>47</v>
      </c>
      <c r="B181" s="777"/>
      <c r="C181" s="740">
        <f>SUM(C180:F180)</f>
        <v>500</v>
      </c>
      <c r="D181" s="741"/>
      <c r="E181" s="741"/>
      <c r="F181" s="742"/>
      <c r="G181" s="222"/>
      <c r="H181" s="57" t="s">
        <v>46</v>
      </c>
      <c r="I181" s="51">
        <f>I180/J164%</f>
        <v>10</v>
      </c>
      <c r="J181" s="642">
        <f>J180/J164%</f>
        <v>90</v>
      </c>
      <c r="K181" s="121"/>
      <c r="L181" s="4"/>
    </row>
    <row r="182" spans="1:13" s="71" customFormat="1" x14ac:dyDescent="0.2">
      <c r="A182" s="657"/>
      <c r="B182" s="657"/>
      <c r="C182" s="658"/>
      <c r="D182" s="658"/>
      <c r="E182" s="658"/>
      <c r="F182" s="658"/>
      <c r="G182" s="648"/>
      <c r="H182" s="100"/>
      <c r="I182" s="660"/>
      <c r="J182" s="661"/>
      <c r="K182" s="441"/>
      <c r="L182" s="481"/>
      <c r="M182" s="400"/>
    </row>
    <row r="183" spans="1:13" x14ac:dyDescent="0.2">
      <c r="A183" s="16"/>
      <c r="B183" s="125"/>
      <c r="C183" s="17"/>
      <c r="D183" s="17"/>
      <c r="E183" s="17"/>
      <c r="F183" s="17"/>
      <c r="G183" s="17"/>
      <c r="H183" s="18"/>
      <c r="I183" s="35"/>
      <c r="J183" s="19"/>
      <c r="K183" s="125"/>
      <c r="L183" s="16"/>
    </row>
    <row r="184" spans="1:13" ht="18" x14ac:dyDescent="0.25">
      <c r="A184" s="149" t="s">
        <v>0</v>
      </c>
      <c r="B184" s="733" t="s">
        <v>16</v>
      </c>
      <c r="C184" s="734"/>
      <c r="D184" s="734"/>
      <c r="E184" s="734"/>
      <c r="F184" s="734"/>
      <c r="G184" s="734"/>
      <c r="H184" s="734"/>
      <c r="I184" s="735"/>
      <c r="J184" s="70" t="s">
        <v>11</v>
      </c>
      <c r="K184" s="739" t="s">
        <v>15</v>
      </c>
      <c r="L184" s="739"/>
    </row>
    <row r="185" spans="1:13" ht="14.25" x14ac:dyDescent="0.2">
      <c r="A185" s="22" t="s">
        <v>1</v>
      </c>
      <c r="B185" s="736" t="s">
        <v>255</v>
      </c>
      <c r="C185" s="737"/>
      <c r="D185" s="737"/>
      <c r="E185" s="737"/>
      <c r="F185" s="737"/>
      <c r="G185" s="737"/>
      <c r="H185" s="737"/>
      <c r="I185" s="738"/>
      <c r="J185" s="69">
        <v>50</v>
      </c>
      <c r="K185" s="739"/>
      <c r="L185" s="739"/>
    </row>
    <row r="186" spans="1:13" ht="15.75" x14ac:dyDescent="0.25">
      <c r="A186" s="726" t="s">
        <v>3</v>
      </c>
      <c r="B186" s="726" t="s">
        <v>126</v>
      </c>
      <c r="C186" s="727" t="s">
        <v>17</v>
      </c>
      <c r="D186" s="728"/>
      <c r="E186" s="728"/>
      <c r="F186" s="729"/>
      <c r="G186" s="512" t="s">
        <v>90</v>
      </c>
      <c r="H186" s="730" t="s">
        <v>10</v>
      </c>
      <c r="I186" s="730"/>
      <c r="J186" s="81" t="s">
        <v>12</v>
      </c>
      <c r="K186" s="726" t="s">
        <v>3</v>
      </c>
      <c r="L186" s="117" t="s">
        <v>13</v>
      </c>
    </row>
    <row r="187" spans="1:13" x14ac:dyDescent="0.2">
      <c r="A187" s="726"/>
      <c r="B187" s="726"/>
      <c r="C187" s="85" t="s">
        <v>4</v>
      </c>
      <c r="D187" s="85" t="s">
        <v>6</v>
      </c>
      <c r="E187" s="87" t="s">
        <v>5</v>
      </c>
      <c r="F187" s="86" t="s">
        <v>7</v>
      </c>
      <c r="G187" s="513" t="s">
        <v>206</v>
      </c>
      <c r="H187" s="80" t="s">
        <v>8</v>
      </c>
      <c r="I187" s="457" t="s">
        <v>23</v>
      </c>
      <c r="J187" s="457" t="s">
        <v>23</v>
      </c>
      <c r="K187" s="726"/>
      <c r="L187" s="117" t="s">
        <v>14</v>
      </c>
    </row>
    <row r="188" spans="1:13" x14ac:dyDescent="0.2">
      <c r="A188" s="669" t="s">
        <v>182</v>
      </c>
      <c r="B188" s="670">
        <v>45931</v>
      </c>
      <c r="C188" s="671">
        <v>1330668</v>
      </c>
      <c r="D188" s="671">
        <v>1038960</v>
      </c>
      <c r="E188" s="671">
        <v>1198800</v>
      </c>
      <c r="F188" s="671">
        <v>932400</v>
      </c>
      <c r="G188" s="592"/>
      <c r="H188" s="672"/>
      <c r="I188" s="673"/>
      <c r="J188" s="674"/>
      <c r="K188" s="122"/>
      <c r="L188" s="4"/>
    </row>
    <row r="189" spans="1:13" x14ac:dyDescent="0.2">
      <c r="A189" s="431">
        <v>46050</v>
      </c>
      <c r="B189" s="112">
        <v>24280</v>
      </c>
      <c r="C189" s="33">
        <v>0</v>
      </c>
      <c r="D189" s="33">
        <v>0</v>
      </c>
      <c r="E189" s="33">
        <v>0</v>
      </c>
      <c r="F189" s="33">
        <v>5</v>
      </c>
      <c r="G189" s="214">
        <f t="shared" ref="G189:G194" si="61">C189*14.4+D189*12+E189*14.4+F189*12</f>
        <v>60</v>
      </c>
      <c r="H189" s="137">
        <f>(C189*C$188+D189*D$188+E189*E$188+F189*F$188)</f>
        <v>4662000</v>
      </c>
      <c r="I189" s="8">
        <f t="shared" ref="I189:I194" si="62">C189+D189+E189+F189</f>
        <v>5</v>
      </c>
      <c r="J189" s="25">
        <f>J185-I189</f>
        <v>45</v>
      </c>
      <c r="K189" s="121">
        <f>'[1]Area 4'!$D$106</f>
        <v>46058</v>
      </c>
      <c r="L189" s="15">
        <f t="shared" ref="L189:L194" si="63">K189-A189</f>
        <v>8</v>
      </c>
    </row>
    <row r="190" spans="1:13" x14ac:dyDescent="0.2">
      <c r="A190" s="604">
        <v>46066</v>
      </c>
      <c r="B190" s="112">
        <v>24287</v>
      </c>
      <c r="C190" s="33">
        <v>1</v>
      </c>
      <c r="D190" s="33">
        <v>1</v>
      </c>
      <c r="E190" s="33">
        <v>1</v>
      </c>
      <c r="F190" s="33">
        <v>2</v>
      </c>
      <c r="G190" s="214">
        <f t="shared" si="61"/>
        <v>64.8</v>
      </c>
      <c r="H190" s="137">
        <f t="shared" ref="H190:H208" si="64">(C190*C$188+D190*D$188+E190*E$188+F190*F$188)</f>
        <v>5433228</v>
      </c>
      <c r="I190" s="8">
        <f t="shared" si="62"/>
        <v>5</v>
      </c>
      <c r="J190" s="9">
        <f t="shared" ref="J190:J197" si="65">J189-I190</f>
        <v>40</v>
      </c>
      <c r="K190" s="121">
        <f>'[1]Area 4'!$D$107</f>
        <v>0</v>
      </c>
      <c r="L190" s="15">
        <f t="shared" si="63"/>
        <v>-46066</v>
      </c>
    </row>
    <row r="191" spans="1:13" x14ac:dyDescent="0.2">
      <c r="A191" s="431"/>
      <c r="B191" s="112"/>
      <c r="C191" s="33"/>
      <c r="D191" s="7"/>
      <c r="E191" s="33"/>
      <c r="F191" s="33"/>
      <c r="G191" s="214">
        <f t="shared" si="61"/>
        <v>0</v>
      </c>
      <c r="H191" s="137">
        <f t="shared" si="64"/>
        <v>0</v>
      </c>
      <c r="I191" s="8">
        <f t="shared" si="62"/>
        <v>0</v>
      </c>
      <c r="J191" s="9">
        <f>J190-I191</f>
        <v>40</v>
      </c>
      <c r="K191" s="121"/>
      <c r="L191" s="15">
        <f t="shared" si="63"/>
        <v>0</v>
      </c>
    </row>
    <row r="192" spans="1:13" x14ac:dyDescent="0.2">
      <c r="A192" s="431"/>
      <c r="B192" s="112"/>
      <c r="C192" s="33"/>
      <c r="D192" s="33"/>
      <c r="E192" s="33"/>
      <c r="F192" s="33"/>
      <c r="G192" s="214">
        <f t="shared" si="61"/>
        <v>0</v>
      </c>
      <c r="H192" s="137">
        <f t="shared" si="64"/>
        <v>0</v>
      </c>
      <c r="I192" s="8">
        <f t="shared" si="62"/>
        <v>0</v>
      </c>
      <c r="J192" s="9">
        <f>J191-I192</f>
        <v>40</v>
      </c>
      <c r="K192" s="121"/>
      <c r="L192" s="10">
        <f t="shared" si="63"/>
        <v>0</v>
      </c>
    </row>
    <row r="193" spans="1:12" x14ac:dyDescent="0.2">
      <c r="A193" s="431"/>
      <c r="B193" s="112"/>
      <c r="C193" s="33"/>
      <c r="D193" s="33"/>
      <c r="E193" s="33"/>
      <c r="F193" s="33"/>
      <c r="G193" s="214">
        <f t="shared" si="61"/>
        <v>0</v>
      </c>
      <c r="H193" s="137">
        <f t="shared" si="64"/>
        <v>0</v>
      </c>
      <c r="I193" s="8">
        <f t="shared" si="62"/>
        <v>0</v>
      </c>
      <c r="J193" s="9">
        <f t="shared" si="65"/>
        <v>40</v>
      </c>
      <c r="K193" s="121"/>
      <c r="L193" s="10">
        <f t="shared" si="63"/>
        <v>0</v>
      </c>
    </row>
    <row r="194" spans="1:12" x14ac:dyDescent="0.2">
      <c r="A194" s="431"/>
      <c r="B194" s="112"/>
      <c r="C194" s="33"/>
      <c r="D194" s="33"/>
      <c r="E194" s="33"/>
      <c r="F194" s="33"/>
      <c r="G194" s="214">
        <f t="shared" si="61"/>
        <v>0</v>
      </c>
      <c r="H194" s="137">
        <f t="shared" si="64"/>
        <v>0</v>
      </c>
      <c r="I194" s="8">
        <f t="shared" si="62"/>
        <v>0</v>
      </c>
      <c r="J194" s="9">
        <f t="shared" si="65"/>
        <v>40</v>
      </c>
      <c r="K194" s="121"/>
      <c r="L194" s="10">
        <f t="shared" si="63"/>
        <v>0</v>
      </c>
    </row>
    <row r="195" spans="1:12" x14ac:dyDescent="0.2">
      <c r="A195" s="431"/>
      <c r="B195" s="112"/>
      <c r="C195" s="33"/>
      <c r="D195" s="33"/>
      <c r="E195" s="33"/>
      <c r="F195" s="33"/>
      <c r="G195" s="214">
        <f>C195*14.4+D195*12+E195*14.4+F195*12</f>
        <v>0</v>
      </c>
      <c r="H195" s="137">
        <f t="shared" si="64"/>
        <v>0</v>
      </c>
      <c r="I195" s="8">
        <f>C195+D195+E195+F195</f>
        <v>0</v>
      </c>
      <c r="J195" s="9">
        <f t="shared" si="65"/>
        <v>40</v>
      </c>
      <c r="K195" s="121"/>
      <c r="L195" s="10">
        <f>K195-A195</f>
        <v>0</v>
      </c>
    </row>
    <row r="196" spans="1:12" x14ac:dyDescent="0.2">
      <c r="A196" s="604"/>
      <c r="B196" s="112"/>
      <c r="C196" s="33"/>
      <c r="D196" s="33"/>
      <c r="E196" s="33"/>
      <c r="F196" s="33"/>
      <c r="G196" s="214">
        <f>C196*14.4+D196*12+E196*14.4+F196*12</f>
        <v>0</v>
      </c>
      <c r="H196" s="137">
        <f t="shared" si="64"/>
        <v>0</v>
      </c>
      <c r="I196" s="8">
        <f>C196+D196+E196+F196</f>
        <v>0</v>
      </c>
      <c r="J196" s="9">
        <f t="shared" si="65"/>
        <v>40</v>
      </c>
      <c r="K196" s="121"/>
      <c r="L196" s="10">
        <f>K196-A196</f>
        <v>0</v>
      </c>
    </row>
    <row r="197" spans="1:12" x14ac:dyDescent="0.2">
      <c r="A197" s="431"/>
      <c r="B197" s="112"/>
      <c r="C197" s="33"/>
      <c r="D197" s="33"/>
      <c r="E197" s="33"/>
      <c r="F197" s="33"/>
      <c r="G197" s="214">
        <f>C197*14.4+D197*12+E197*14.4+F197*12</f>
        <v>0</v>
      </c>
      <c r="H197" s="137">
        <f t="shared" si="64"/>
        <v>0</v>
      </c>
      <c r="I197" s="8">
        <f>C197+D197+E197+F197</f>
        <v>0</v>
      </c>
      <c r="J197" s="9">
        <f t="shared" si="65"/>
        <v>40</v>
      </c>
      <c r="K197" s="121"/>
      <c r="L197" s="10">
        <f>K197-A197</f>
        <v>0</v>
      </c>
    </row>
    <row r="198" spans="1:12" x14ac:dyDescent="0.2">
      <c r="A198" s="431"/>
      <c r="B198" s="112"/>
      <c r="C198" s="33"/>
      <c r="D198" s="33"/>
      <c r="E198" s="33"/>
      <c r="F198" s="33"/>
      <c r="G198" s="214">
        <f t="shared" ref="G198:G203" si="66">C198*14.4+D198*12+E198*14.4+F198*12</f>
        <v>0</v>
      </c>
      <c r="H198" s="137">
        <f t="shared" si="64"/>
        <v>0</v>
      </c>
      <c r="I198" s="8">
        <f t="shared" ref="I198:I203" si="67">C198+D198+E198+F198</f>
        <v>0</v>
      </c>
      <c r="J198" s="9">
        <f t="shared" ref="J198:J203" si="68">J197-I198</f>
        <v>40</v>
      </c>
      <c r="K198" s="121"/>
      <c r="L198" s="10">
        <f t="shared" ref="L198:L203" si="69">K198-A198</f>
        <v>0</v>
      </c>
    </row>
    <row r="199" spans="1:12" x14ac:dyDescent="0.2">
      <c r="A199" s="431"/>
      <c r="B199" s="112"/>
      <c r="C199" s="33"/>
      <c r="D199" s="33"/>
      <c r="E199" s="33"/>
      <c r="F199" s="33"/>
      <c r="G199" s="214">
        <f t="shared" si="66"/>
        <v>0</v>
      </c>
      <c r="H199" s="137">
        <f t="shared" si="64"/>
        <v>0</v>
      </c>
      <c r="I199" s="8">
        <f t="shared" si="67"/>
        <v>0</v>
      </c>
      <c r="J199" s="9">
        <f t="shared" si="68"/>
        <v>40</v>
      </c>
      <c r="K199" s="121"/>
      <c r="L199" s="10">
        <f t="shared" si="69"/>
        <v>0</v>
      </c>
    </row>
    <row r="200" spans="1:12" x14ac:dyDescent="0.2">
      <c r="A200" s="431"/>
      <c r="B200" s="112"/>
      <c r="C200" s="33"/>
      <c r="D200" s="33"/>
      <c r="E200" s="33"/>
      <c r="F200" s="33"/>
      <c r="G200" s="214">
        <f t="shared" si="66"/>
        <v>0</v>
      </c>
      <c r="H200" s="137">
        <f t="shared" si="64"/>
        <v>0</v>
      </c>
      <c r="I200" s="8">
        <f t="shared" si="67"/>
        <v>0</v>
      </c>
      <c r="J200" s="9">
        <f t="shared" si="68"/>
        <v>40</v>
      </c>
      <c r="K200" s="121"/>
      <c r="L200" s="10">
        <f t="shared" si="69"/>
        <v>0</v>
      </c>
    </row>
    <row r="201" spans="1:12" x14ac:dyDescent="0.2">
      <c r="A201" s="431"/>
      <c r="B201" s="112"/>
      <c r="C201" s="33"/>
      <c r="D201" s="33"/>
      <c r="E201" s="33"/>
      <c r="F201" s="33"/>
      <c r="G201" s="214">
        <f t="shared" si="66"/>
        <v>0</v>
      </c>
      <c r="H201" s="137">
        <f t="shared" si="64"/>
        <v>0</v>
      </c>
      <c r="I201" s="8">
        <f t="shared" si="67"/>
        <v>0</v>
      </c>
      <c r="J201" s="9">
        <f t="shared" si="68"/>
        <v>40</v>
      </c>
      <c r="K201" s="121"/>
      <c r="L201" s="10">
        <f t="shared" si="69"/>
        <v>0</v>
      </c>
    </row>
    <row r="202" spans="1:12" x14ac:dyDescent="0.2">
      <c r="A202" s="121"/>
      <c r="B202" s="440"/>
      <c r="C202" s="33"/>
      <c r="D202" s="33"/>
      <c r="E202" s="33"/>
      <c r="F202" s="33"/>
      <c r="G202" s="214">
        <f t="shared" si="66"/>
        <v>0</v>
      </c>
      <c r="H202" s="137">
        <f t="shared" si="64"/>
        <v>0</v>
      </c>
      <c r="I202" s="8">
        <f t="shared" si="67"/>
        <v>0</v>
      </c>
      <c r="J202" s="9">
        <f t="shared" si="68"/>
        <v>40</v>
      </c>
      <c r="K202" s="121"/>
      <c r="L202" s="10">
        <f t="shared" si="69"/>
        <v>0</v>
      </c>
    </row>
    <row r="203" spans="1:12" x14ac:dyDescent="0.2">
      <c r="A203" s="121"/>
      <c r="B203" s="440"/>
      <c r="C203" s="33"/>
      <c r="D203" s="33"/>
      <c r="E203" s="33"/>
      <c r="F203" s="33"/>
      <c r="G203" s="214">
        <f t="shared" si="66"/>
        <v>0</v>
      </c>
      <c r="H203" s="137">
        <f t="shared" si="64"/>
        <v>0</v>
      </c>
      <c r="I203" s="8">
        <f t="shared" si="67"/>
        <v>0</v>
      </c>
      <c r="J203" s="9">
        <f t="shared" si="68"/>
        <v>40</v>
      </c>
      <c r="K203" s="121"/>
      <c r="L203" s="10">
        <f t="shared" si="69"/>
        <v>0</v>
      </c>
    </row>
    <row r="204" spans="1:12" x14ac:dyDescent="0.2">
      <c r="A204" s="121"/>
      <c r="B204" s="440"/>
      <c r="C204" s="33"/>
      <c r="D204" s="33"/>
      <c r="E204" s="33"/>
      <c r="F204" s="33"/>
      <c r="G204" s="214">
        <f>C204*14.4+D204*12+E204*14.4+F204*12</f>
        <v>0</v>
      </c>
      <c r="H204" s="137">
        <f t="shared" si="64"/>
        <v>0</v>
      </c>
      <c r="I204" s="8">
        <f>C204+D204+E204+F204</f>
        <v>0</v>
      </c>
      <c r="J204" s="718">
        <f>J203-I204</f>
        <v>40</v>
      </c>
      <c r="K204" s="121"/>
      <c r="L204" s="10">
        <f>K204-A204</f>
        <v>0</v>
      </c>
    </row>
    <row r="205" spans="1:12" x14ac:dyDescent="0.2">
      <c r="A205" s="121"/>
      <c r="B205" s="440"/>
      <c r="C205" s="33"/>
      <c r="D205" s="33"/>
      <c r="E205" s="33"/>
      <c r="F205" s="33"/>
      <c r="G205" s="214">
        <f>C205*14.4+D205*12+E205*14.4+F205*12</f>
        <v>0</v>
      </c>
      <c r="H205" s="137">
        <f t="shared" si="64"/>
        <v>0</v>
      </c>
      <c r="I205" s="8">
        <f>C205+D205+E205+F205</f>
        <v>0</v>
      </c>
      <c r="J205" s="718">
        <f>J204-I205</f>
        <v>40</v>
      </c>
      <c r="K205" s="121"/>
      <c r="L205" s="10">
        <f>K205-A205</f>
        <v>0</v>
      </c>
    </row>
    <row r="206" spans="1:12" x14ac:dyDescent="0.2">
      <c r="A206" s="431"/>
      <c r="B206" s="112"/>
      <c r="C206" s="33"/>
      <c r="D206" s="33"/>
      <c r="E206" s="33"/>
      <c r="F206" s="33"/>
      <c r="G206" s="214">
        <f>C206*14.4+D206*12+E206*14.4+F206*12</f>
        <v>0</v>
      </c>
      <c r="H206" s="137">
        <f t="shared" si="64"/>
        <v>0</v>
      </c>
      <c r="I206" s="8">
        <f>C206+D206+E206+F206</f>
        <v>0</v>
      </c>
      <c r="J206" s="718">
        <f>J205-I206</f>
        <v>40</v>
      </c>
      <c r="K206" s="121"/>
      <c r="L206" s="10">
        <f>K206-A206</f>
        <v>0</v>
      </c>
    </row>
    <row r="207" spans="1:12" x14ac:dyDescent="0.2">
      <c r="A207" s="121"/>
      <c r="B207" s="440"/>
      <c r="C207" s="33"/>
      <c r="D207" s="33"/>
      <c r="E207" s="33"/>
      <c r="F207" s="33"/>
      <c r="G207" s="214">
        <f>C207*14.4+D207*12+E207*14.4+F207*12</f>
        <v>0</v>
      </c>
      <c r="H207" s="137">
        <f t="shared" si="64"/>
        <v>0</v>
      </c>
      <c r="I207" s="8">
        <f>C207+D207+E207+F207</f>
        <v>0</v>
      </c>
      <c r="J207" s="718">
        <f>J206-I207</f>
        <v>40</v>
      </c>
      <c r="K207" s="121"/>
      <c r="L207" s="10">
        <f>K207-A207</f>
        <v>0</v>
      </c>
    </row>
    <row r="208" spans="1:12" x14ac:dyDescent="0.2">
      <c r="A208" s="121"/>
      <c r="B208" s="440"/>
      <c r="C208" s="33"/>
      <c r="D208" s="33"/>
      <c r="E208" s="33"/>
      <c r="F208" s="33"/>
      <c r="G208" s="214">
        <f>C208*14.4+D208*12+E208*14.4+F208*12</f>
        <v>0</v>
      </c>
      <c r="H208" s="137">
        <f t="shared" si="64"/>
        <v>0</v>
      </c>
      <c r="I208" s="8">
        <f>C208+D208+E208+F208</f>
        <v>0</v>
      </c>
      <c r="J208" s="718">
        <f>J207-I208</f>
        <v>40</v>
      </c>
      <c r="K208" s="121"/>
      <c r="L208" s="10">
        <f>K208-A208</f>
        <v>0</v>
      </c>
    </row>
    <row r="209" spans="1:13" x14ac:dyDescent="0.2">
      <c r="A209" s="731" t="s">
        <v>18</v>
      </c>
      <c r="B209" s="732"/>
      <c r="C209" s="235">
        <f t="shared" ref="C209:I209" si="70">SUM(C189:C208)</f>
        <v>1</v>
      </c>
      <c r="D209" s="235">
        <f t="shared" si="70"/>
        <v>1</v>
      </c>
      <c r="E209" s="90">
        <f t="shared" si="70"/>
        <v>1</v>
      </c>
      <c r="F209" s="90">
        <f t="shared" si="70"/>
        <v>7</v>
      </c>
      <c r="G209" s="537">
        <f t="shared" si="70"/>
        <v>124.8</v>
      </c>
      <c r="H209" s="79">
        <f t="shared" si="70"/>
        <v>10095228</v>
      </c>
      <c r="I209" s="48">
        <f t="shared" si="70"/>
        <v>10</v>
      </c>
      <c r="J209" s="719">
        <f>J185-I209</f>
        <v>40</v>
      </c>
      <c r="K209" s="121"/>
      <c r="L209" s="10"/>
    </row>
    <row r="210" spans="1:13" x14ac:dyDescent="0.2">
      <c r="A210" s="776" t="s">
        <v>47</v>
      </c>
      <c r="B210" s="777"/>
      <c r="C210" s="740">
        <f>SUM(C209:F209)</f>
        <v>10</v>
      </c>
      <c r="D210" s="741"/>
      <c r="E210" s="741"/>
      <c r="F210" s="742"/>
      <c r="G210" s="222"/>
      <c r="H210" s="57" t="s">
        <v>46</v>
      </c>
      <c r="I210" s="51">
        <f>I209/J185%</f>
        <v>20</v>
      </c>
      <c r="J210" s="53">
        <f>J209/J185%</f>
        <v>80</v>
      </c>
      <c r="K210" s="121"/>
      <c r="L210" s="4"/>
    </row>
    <row r="213" spans="1:13" ht="18" x14ac:dyDescent="0.25">
      <c r="A213" s="149" t="s">
        <v>0</v>
      </c>
      <c r="B213" s="733" t="s">
        <v>16</v>
      </c>
      <c r="C213" s="734"/>
      <c r="D213" s="734"/>
      <c r="E213" s="734"/>
      <c r="F213" s="734"/>
      <c r="G213" s="734"/>
      <c r="H213" s="734"/>
      <c r="I213" s="735"/>
      <c r="J213" s="70" t="s">
        <v>11</v>
      </c>
      <c r="K213" s="739" t="s">
        <v>15</v>
      </c>
      <c r="L213" s="739"/>
      <c r="M213" s="705">
        <v>46083</v>
      </c>
    </row>
    <row r="214" spans="1:13" ht="14.25" x14ac:dyDescent="0.2">
      <c r="A214" s="22" t="s">
        <v>1</v>
      </c>
      <c r="B214" s="736" t="s">
        <v>193</v>
      </c>
      <c r="C214" s="737"/>
      <c r="D214" s="737"/>
      <c r="E214" s="737"/>
      <c r="F214" s="737"/>
      <c r="G214" s="737"/>
      <c r="H214" s="737"/>
      <c r="I214" s="738"/>
      <c r="J214" s="69">
        <v>5000</v>
      </c>
      <c r="K214" s="739"/>
      <c r="L214" s="739"/>
    </row>
    <row r="215" spans="1:13" x14ac:dyDescent="0.2">
      <c r="A215" s="726" t="s">
        <v>3</v>
      </c>
      <c r="B215" s="726" t="s">
        <v>126</v>
      </c>
      <c r="C215" s="763" t="s">
        <v>17</v>
      </c>
      <c r="D215" s="764"/>
      <c r="E215" s="764"/>
      <c r="F215" s="765"/>
      <c r="G215" s="512" t="s">
        <v>90</v>
      </c>
      <c r="H215" s="730" t="s">
        <v>10</v>
      </c>
      <c r="I215" s="730"/>
      <c r="J215" s="81" t="s">
        <v>12</v>
      </c>
      <c r="K215" s="726" t="s">
        <v>3</v>
      </c>
      <c r="L215" s="117" t="s">
        <v>13</v>
      </c>
    </row>
    <row r="216" spans="1:13" x14ac:dyDescent="0.2">
      <c r="A216" s="726"/>
      <c r="B216" s="726"/>
      <c r="C216" s="85" t="s">
        <v>4</v>
      </c>
      <c r="D216" s="85" t="s">
        <v>6</v>
      </c>
      <c r="E216" s="87" t="s">
        <v>5</v>
      </c>
      <c r="F216" s="86" t="s">
        <v>7</v>
      </c>
      <c r="G216" s="513" t="s">
        <v>206</v>
      </c>
      <c r="H216" s="80" t="s">
        <v>8</v>
      </c>
      <c r="I216" s="457" t="s">
        <v>23</v>
      </c>
      <c r="J216" s="457" t="s">
        <v>23</v>
      </c>
      <c r="K216" s="726"/>
      <c r="L216" s="117" t="s">
        <v>14</v>
      </c>
    </row>
    <row r="217" spans="1:13" x14ac:dyDescent="0.2">
      <c r="A217" s="669" t="s">
        <v>182</v>
      </c>
      <c r="B217" s="670">
        <v>45931</v>
      </c>
      <c r="C217" s="671">
        <v>1330668</v>
      </c>
      <c r="D217" s="671">
        <v>1038960</v>
      </c>
      <c r="E217" s="671">
        <v>1198800</v>
      </c>
      <c r="F217" s="671">
        <v>932400</v>
      </c>
      <c r="G217" s="592"/>
      <c r="H217" s="672"/>
      <c r="I217" s="673">
        <v>0.96</v>
      </c>
      <c r="J217" s="674"/>
      <c r="K217" s="122"/>
      <c r="L217" s="4"/>
    </row>
    <row r="218" spans="1:13" x14ac:dyDescent="0.2">
      <c r="A218" s="121">
        <v>46024</v>
      </c>
      <c r="B218" s="440">
        <v>24120</v>
      </c>
      <c r="C218" s="6">
        <v>50</v>
      </c>
      <c r="D218" s="7">
        <v>200</v>
      </c>
      <c r="E218" s="7">
        <v>50</v>
      </c>
      <c r="F218" s="11">
        <v>200</v>
      </c>
      <c r="G218" s="214">
        <f t="shared" ref="G218:G226" si="71">C218*14.4+D218*12+E218*14.4+F218*12</f>
        <v>6240</v>
      </c>
      <c r="H218" s="137">
        <f>(C218*C$217+D218*D$217+E218*E$217+F218*F$217)*I$217</f>
        <v>499915584</v>
      </c>
      <c r="I218" s="8">
        <f t="shared" ref="I218:I226" si="72">C218+D218+E218+F218</f>
        <v>500</v>
      </c>
      <c r="J218" s="9">
        <f>J214-I218</f>
        <v>4500</v>
      </c>
      <c r="K218" s="121">
        <f>'[1]Area 5'!$D$11</f>
        <v>46078</v>
      </c>
      <c r="L218" s="10">
        <f t="shared" ref="L218:L223" si="73">K218-A218</f>
        <v>54</v>
      </c>
    </row>
    <row r="219" spans="1:13" x14ac:dyDescent="0.2">
      <c r="A219" s="121">
        <v>46081</v>
      </c>
      <c r="B219" s="440">
        <v>24122</v>
      </c>
      <c r="C219" s="6">
        <v>50</v>
      </c>
      <c r="D219" s="7">
        <v>250</v>
      </c>
      <c r="E219" s="7">
        <v>50</v>
      </c>
      <c r="F219" s="11">
        <v>150</v>
      </c>
      <c r="G219" s="214">
        <f t="shared" si="71"/>
        <v>6240</v>
      </c>
      <c r="H219" s="137">
        <f t="shared" ref="H219:H226" si="74">(C219*C$217+D219*D$217+E219*E$217+F219*F$217)*I$217</f>
        <v>505030464</v>
      </c>
      <c r="I219" s="8">
        <f t="shared" si="72"/>
        <v>500</v>
      </c>
      <c r="J219" s="9">
        <f>J218-I219</f>
        <v>4000</v>
      </c>
      <c r="K219" s="121">
        <f>'[1]Area 5'!$D$12</f>
        <v>0</v>
      </c>
      <c r="L219" s="10">
        <f t="shared" si="73"/>
        <v>-46081</v>
      </c>
    </row>
    <row r="220" spans="1:13" x14ac:dyDescent="0.2">
      <c r="A220" s="473"/>
      <c r="B220" s="474"/>
      <c r="C220" s="283"/>
      <c r="D220" s="483"/>
      <c r="E220" s="483"/>
      <c r="F220" s="484"/>
      <c r="G220" s="214">
        <f t="shared" si="71"/>
        <v>0</v>
      </c>
      <c r="H220" s="137">
        <f t="shared" si="74"/>
        <v>0</v>
      </c>
      <c r="I220" s="284">
        <f t="shared" si="72"/>
        <v>0</v>
      </c>
      <c r="J220" s="349">
        <f t="shared" ref="J220:J226" si="75">J219-I220</f>
        <v>4000</v>
      </c>
      <c r="K220" s="473"/>
      <c r="L220" s="10">
        <f t="shared" si="73"/>
        <v>0</v>
      </c>
    </row>
    <row r="221" spans="1:13" x14ac:dyDescent="0.2">
      <c r="A221" s="473"/>
      <c r="B221" s="557"/>
      <c r="C221" s="283"/>
      <c r="D221" s="483"/>
      <c r="E221" s="483"/>
      <c r="F221" s="652"/>
      <c r="G221" s="214">
        <f t="shared" si="71"/>
        <v>0</v>
      </c>
      <c r="H221" s="137">
        <f t="shared" si="74"/>
        <v>0</v>
      </c>
      <c r="I221" s="284">
        <f t="shared" si="72"/>
        <v>0</v>
      </c>
      <c r="J221" s="349">
        <f t="shared" si="75"/>
        <v>4000</v>
      </c>
      <c r="K221" s="473"/>
      <c r="L221" s="10">
        <f t="shared" si="73"/>
        <v>0</v>
      </c>
    </row>
    <row r="222" spans="1:13" x14ac:dyDescent="0.2">
      <c r="A222" s="473"/>
      <c r="B222" s="557"/>
      <c r="C222" s="283"/>
      <c r="D222" s="483"/>
      <c r="E222" s="483"/>
      <c r="F222" s="652"/>
      <c r="G222" s="214">
        <f t="shared" si="71"/>
        <v>0</v>
      </c>
      <c r="H222" s="137">
        <f t="shared" si="74"/>
        <v>0</v>
      </c>
      <c r="I222" s="284">
        <f t="shared" si="72"/>
        <v>0</v>
      </c>
      <c r="J222" s="349">
        <f t="shared" si="75"/>
        <v>4000</v>
      </c>
      <c r="K222" s="473"/>
      <c r="L222" s="10">
        <f t="shared" si="73"/>
        <v>0</v>
      </c>
    </row>
    <row r="223" spans="1:13" x14ac:dyDescent="0.2">
      <c r="A223" s="121"/>
      <c r="B223" s="440"/>
      <c r="C223" s="6"/>
      <c r="D223" s="7"/>
      <c r="E223" s="7"/>
      <c r="F223" s="144"/>
      <c r="G223" s="214">
        <f t="shared" si="71"/>
        <v>0</v>
      </c>
      <c r="H223" s="137">
        <f t="shared" si="74"/>
        <v>0</v>
      </c>
      <c r="I223" s="8">
        <f t="shared" si="72"/>
        <v>0</v>
      </c>
      <c r="J223" s="9">
        <f t="shared" si="75"/>
        <v>4000</v>
      </c>
      <c r="K223" s="121"/>
      <c r="L223" s="10">
        <f t="shared" si="73"/>
        <v>0</v>
      </c>
    </row>
    <row r="224" spans="1:13" x14ac:dyDescent="0.2">
      <c r="A224" s="121"/>
      <c r="B224" s="557"/>
      <c r="C224" s="283"/>
      <c r="D224" s="483"/>
      <c r="E224" s="483"/>
      <c r="F224" s="652"/>
      <c r="G224" s="214">
        <f t="shared" si="71"/>
        <v>0</v>
      </c>
      <c r="H224" s="137">
        <f t="shared" si="74"/>
        <v>0</v>
      </c>
      <c r="I224" s="284">
        <f t="shared" si="72"/>
        <v>0</v>
      </c>
      <c r="J224" s="9">
        <f t="shared" si="75"/>
        <v>4000</v>
      </c>
      <c r="K224" s="473"/>
      <c r="L224" s="10">
        <f>K224-A224</f>
        <v>0</v>
      </c>
    </row>
    <row r="225" spans="1:12" x14ac:dyDescent="0.2">
      <c r="A225" s="121"/>
      <c r="B225" s="440"/>
      <c r="C225" s="6"/>
      <c r="D225" s="7"/>
      <c r="E225" s="7"/>
      <c r="F225" s="144"/>
      <c r="G225" s="214">
        <f t="shared" si="71"/>
        <v>0</v>
      </c>
      <c r="H225" s="137">
        <f t="shared" si="74"/>
        <v>0</v>
      </c>
      <c r="I225" s="8">
        <f t="shared" si="72"/>
        <v>0</v>
      </c>
      <c r="J225" s="9">
        <f t="shared" si="75"/>
        <v>4000</v>
      </c>
      <c r="K225" s="121"/>
      <c r="L225" s="10">
        <f>K225-A225</f>
        <v>0</v>
      </c>
    </row>
    <row r="226" spans="1:12" x14ac:dyDescent="0.2">
      <c r="A226" s="121"/>
      <c r="B226" s="440"/>
      <c r="C226" s="6"/>
      <c r="D226" s="7"/>
      <c r="E226" s="7"/>
      <c r="F226" s="144"/>
      <c r="G226" s="214">
        <f t="shared" si="71"/>
        <v>0</v>
      </c>
      <c r="H226" s="137">
        <f t="shared" si="74"/>
        <v>0</v>
      </c>
      <c r="I226" s="8">
        <f t="shared" si="72"/>
        <v>0</v>
      </c>
      <c r="J226" s="9">
        <f t="shared" si="75"/>
        <v>4000</v>
      </c>
      <c r="K226" s="121"/>
      <c r="L226" s="10">
        <f>K226-A226</f>
        <v>0</v>
      </c>
    </row>
    <row r="227" spans="1:12" x14ac:dyDescent="0.2">
      <c r="A227" s="795" t="s">
        <v>18</v>
      </c>
      <c r="B227" s="795"/>
      <c r="C227" s="88">
        <f t="shared" ref="C227:I227" si="76">SUM(C218:C226)</f>
        <v>100</v>
      </c>
      <c r="D227" s="89">
        <f t="shared" si="76"/>
        <v>450</v>
      </c>
      <c r="E227" s="90">
        <f t="shared" si="76"/>
        <v>100</v>
      </c>
      <c r="F227" s="90">
        <f t="shared" si="76"/>
        <v>350</v>
      </c>
      <c r="G227" s="538">
        <f t="shared" si="76"/>
        <v>12480</v>
      </c>
      <c r="H227" s="79">
        <f t="shared" si="76"/>
        <v>1004946048</v>
      </c>
      <c r="I227" s="52">
        <f t="shared" si="76"/>
        <v>1000</v>
      </c>
      <c r="J227" s="249">
        <f>J214-I227</f>
        <v>4000</v>
      </c>
      <c r="K227" s="121"/>
      <c r="L227" s="10"/>
    </row>
    <row r="228" spans="1:12" x14ac:dyDescent="0.2">
      <c r="A228" s="776" t="s">
        <v>47</v>
      </c>
      <c r="B228" s="777"/>
      <c r="C228" s="740">
        <f>SUM(C227:F227)</f>
        <v>1000</v>
      </c>
      <c r="D228" s="741"/>
      <c r="E228" s="741"/>
      <c r="F228" s="742"/>
      <c r="G228" s="222"/>
      <c r="H228" s="57" t="s">
        <v>46</v>
      </c>
      <c r="I228" s="51">
        <f>I227/J214%</f>
        <v>20</v>
      </c>
      <c r="J228" s="53">
        <f>J227/J214%</f>
        <v>80</v>
      </c>
      <c r="K228" s="121"/>
      <c r="L228" s="4"/>
    </row>
    <row r="229" spans="1:12" x14ac:dyDescent="0.2">
      <c r="A229" s="16"/>
      <c r="B229" s="16"/>
      <c r="C229" s="643"/>
      <c r="D229" s="644"/>
      <c r="E229" s="645"/>
      <c r="F229" s="646"/>
      <c r="G229" s="647"/>
      <c r="H229" s="517"/>
      <c r="I229" s="648"/>
      <c r="J229" s="649"/>
      <c r="K229" s="441"/>
      <c r="L229" s="31"/>
    </row>
    <row r="231" spans="1:12" ht="18" x14ac:dyDescent="0.25">
      <c r="A231" s="149" t="s">
        <v>0</v>
      </c>
      <c r="B231" s="733" t="s">
        <v>16</v>
      </c>
      <c r="C231" s="734"/>
      <c r="D231" s="734"/>
      <c r="E231" s="734"/>
      <c r="F231" s="734"/>
      <c r="G231" s="734"/>
      <c r="H231" s="734"/>
      <c r="I231" s="735"/>
      <c r="J231" s="147" t="s">
        <v>11</v>
      </c>
      <c r="K231" s="739" t="s">
        <v>15</v>
      </c>
      <c r="L231" s="739"/>
    </row>
    <row r="232" spans="1:12" ht="14.25" x14ac:dyDescent="0.2">
      <c r="A232" s="22" t="s">
        <v>1</v>
      </c>
      <c r="B232" s="736" t="s">
        <v>254</v>
      </c>
      <c r="C232" s="737"/>
      <c r="D232" s="737"/>
      <c r="E232" s="737"/>
      <c r="F232" s="737"/>
      <c r="G232" s="737"/>
      <c r="H232" s="737"/>
      <c r="I232" s="738"/>
      <c r="J232" s="146">
        <v>500</v>
      </c>
      <c r="K232" s="739"/>
      <c r="L232" s="739"/>
    </row>
    <row r="233" spans="1:12" x14ac:dyDescent="0.2">
      <c r="A233" s="726" t="s">
        <v>3</v>
      </c>
      <c r="B233" s="726" t="s">
        <v>126</v>
      </c>
      <c r="C233" s="763" t="s">
        <v>17</v>
      </c>
      <c r="D233" s="764"/>
      <c r="E233" s="764"/>
      <c r="F233" s="765"/>
      <c r="G233" s="512" t="s">
        <v>90</v>
      </c>
      <c r="H233" s="730" t="s">
        <v>10</v>
      </c>
      <c r="I233" s="730"/>
      <c r="J233" s="81" t="s">
        <v>12</v>
      </c>
      <c r="K233" s="726" t="s">
        <v>3</v>
      </c>
      <c r="L233" s="117" t="s">
        <v>13</v>
      </c>
    </row>
    <row r="234" spans="1:12" x14ac:dyDescent="0.2">
      <c r="A234" s="726"/>
      <c r="B234" s="726"/>
      <c r="C234" s="85" t="s">
        <v>4</v>
      </c>
      <c r="D234" s="85" t="s">
        <v>6</v>
      </c>
      <c r="E234" s="87" t="s">
        <v>5</v>
      </c>
      <c r="F234" s="86" t="s">
        <v>7</v>
      </c>
      <c r="G234" s="513" t="s">
        <v>206</v>
      </c>
      <c r="H234" s="80" t="s">
        <v>8</v>
      </c>
      <c r="I234" s="457" t="s">
        <v>23</v>
      </c>
      <c r="J234" s="457" t="s">
        <v>23</v>
      </c>
      <c r="K234" s="726"/>
      <c r="L234" s="117" t="s">
        <v>14</v>
      </c>
    </row>
    <row r="235" spans="1:12" x14ac:dyDescent="0.2">
      <c r="A235" s="669" t="s">
        <v>182</v>
      </c>
      <c r="B235" s="670">
        <v>45931</v>
      </c>
      <c r="C235" s="671">
        <v>1330668</v>
      </c>
      <c r="D235" s="671">
        <v>1038960</v>
      </c>
      <c r="E235" s="671">
        <v>1198800</v>
      </c>
      <c r="F235" s="671">
        <v>932400</v>
      </c>
      <c r="G235" s="592"/>
      <c r="H235" s="672"/>
      <c r="I235" s="673">
        <v>0.96</v>
      </c>
      <c r="J235" s="615"/>
      <c r="K235" s="122"/>
      <c r="L235" s="4"/>
    </row>
    <row r="236" spans="1:12" x14ac:dyDescent="0.2">
      <c r="A236" s="121"/>
      <c r="B236" s="440"/>
      <c r="C236" s="137"/>
      <c r="D236" s="137"/>
      <c r="E236" s="137"/>
      <c r="F236" s="137"/>
      <c r="G236" s="214">
        <f>C236*14.4+D236*12+E236*14.4+F236*12</f>
        <v>0</v>
      </c>
      <c r="H236" s="137">
        <f>(C236*C$235+D236*D$235+E236*E$235+F236*F$235)*I$235</f>
        <v>0</v>
      </c>
      <c r="I236" s="8">
        <f>C236+D236+E236+F236</f>
        <v>0</v>
      </c>
      <c r="J236" s="9">
        <f>J232-I236</f>
        <v>500</v>
      </c>
      <c r="K236" s="121"/>
      <c r="L236" s="10">
        <f>K236-A236</f>
        <v>0</v>
      </c>
    </row>
    <row r="237" spans="1:12" x14ac:dyDescent="0.2">
      <c r="A237" s="121"/>
      <c r="B237" s="440"/>
      <c r="C237" s="137"/>
      <c r="D237" s="137"/>
      <c r="E237" s="137"/>
      <c r="F237" s="137"/>
      <c r="G237" s="214">
        <f>C237*14.4+D237*12+E237*14.4+F237*12</f>
        <v>0</v>
      </c>
      <c r="H237" s="137">
        <f>(C237*C$235+D237*D$235+E237*E$235+F237*F$235)*I$235</f>
        <v>0</v>
      </c>
      <c r="I237" s="8">
        <f>C237+D237+E237+F237</f>
        <v>0</v>
      </c>
      <c r="J237" s="9">
        <f>J236-I237</f>
        <v>500</v>
      </c>
      <c r="K237" s="121"/>
      <c r="L237" s="10">
        <f>K237-A237</f>
        <v>0</v>
      </c>
    </row>
    <row r="238" spans="1:12" x14ac:dyDescent="0.2">
      <c r="A238" s="639"/>
      <c r="B238" s="440"/>
      <c r="C238" s="137"/>
      <c r="D238" s="137"/>
      <c r="E238" s="137"/>
      <c r="F238" s="137"/>
      <c r="G238" s="214">
        <f>C238*14.4+D238*12+E238*14.4+F238*12</f>
        <v>0</v>
      </c>
      <c r="H238" s="137">
        <f>(C238*C$235+D238*D$235+E238*E$235+F238*F$235)*I$235</f>
        <v>0</v>
      </c>
      <c r="I238" s="8"/>
      <c r="J238" s="9">
        <f>J237-I238</f>
        <v>500</v>
      </c>
      <c r="K238" s="121"/>
      <c r="L238" s="10"/>
    </row>
    <row r="239" spans="1:12" x14ac:dyDescent="0.2">
      <c r="A239" s="639"/>
      <c r="B239" s="440"/>
      <c r="C239" s="137"/>
      <c r="D239" s="137"/>
      <c r="E239" s="137"/>
      <c r="F239" s="137"/>
      <c r="G239" s="214">
        <f>C239*14.4+D239*12+E239*14.4+F239*12</f>
        <v>0</v>
      </c>
      <c r="H239" s="137">
        <f>(C239*C$235+D239*D$235+E239*E$235+F239*F$235)*I$235</f>
        <v>0</v>
      </c>
      <c r="I239" s="8"/>
      <c r="J239" s="9">
        <f>J238-I239</f>
        <v>500</v>
      </c>
      <c r="K239" s="121"/>
      <c r="L239" s="10"/>
    </row>
    <row r="240" spans="1:12" x14ac:dyDescent="0.2">
      <c r="A240" s="639"/>
      <c r="B240" s="440"/>
      <c r="C240" s="137"/>
      <c r="D240" s="137"/>
      <c r="E240" s="137"/>
      <c r="F240" s="137"/>
      <c r="G240" s="214">
        <f>C240*14.4+D240*12+E240*14.4+F240*12</f>
        <v>0</v>
      </c>
      <c r="H240" s="137">
        <f>(C240*C$235+D240*D$235+E240*E$235+F240*F$235)*I$235</f>
        <v>0</v>
      </c>
      <c r="I240" s="8"/>
      <c r="J240" s="9">
        <f>J239-I240</f>
        <v>500</v>
      </c>
      <c r="K240" s="121"/>
      <c r="L240" s="10"/>
    </row>
    <row r="241" spans="1:13" x14ac:dyDescent="0.2">
      <c r="A241" s="731" t="s">
        <v>18</v>
      </c>
      <c r="B241" s="732"/>
      <c r="C241" s="235">
        <f t="shared" ref="C241:I241" si="77">SUM(C236:C240)</f>
        <v>0</v>
      </c>
      <c r="D241" s="235">
        <f t="shared" si="77"/>
        <v>0</v>
      </c>
      <c r="E241" s="236">
        <f t="shared" si="77"/>
        <v>0</v>
      </c>
      <c r="F241" s="236">
        <f t="shared" si="77"/>
        <v>0</v>
      </c>
      <c r="G241" s="534">
        <f t="shared" si="77"/>
        <v>0</v>
      </c>
      <c r="H241" s="92">
        <f t="shared" si="77"/>
        <v>0</v>
      </c>
      <c r="I241" s="48">
        <f t="shared" si="77"/>
        <v>0</v>
      </c>
      <c r="J241" s="49">
        <f>J232-I241</f>
        <v>500</v>
      </c>
      <c r="K241" s="121"/>
      <c r="L241" s="10"/>
    </row>
    <row r="245" spans="1:13" x14ac:dyDescent="0.2">
      <c r="A245" s="789" t="s">
        <v>145</v>
      </c>
      <c r="B245" s="789"/>
      <c r="C245" s="789"/>
      <c r="D245" s="789"/>
      <c r="E245" s="789"/>
      <c r="F245" s="793">
        <f>J4+J37+J58+J83+J134+J164+J185+J214+J232</f>
        <v>95050</v>
      </c>
      <c r="G245" s="793"/>
      <c r="J245" s="71"/>
    </row>
    <row r="246" spans="1:13" s="71" customFormat="1" x14ac:dyDescent="0.2">
      <c r="A246" s="73"/>
      <c r="B246" s="73"/>
      <c r="C246" s="73"/>
      <c r="D246" s="73"/>
      <c r="E246" s="73"/>
      <c r="F246" s="480"/>
      <c r="G246" s="480"/>
      <c r="K246" s="132"/>
      <c r="M246" s="400"/>
    </row>
    <row r="247" spans="1:13" x14ac:dyDescent="0.2">
      <c r="A247" s="784" t="s">
        <v>125</v>
      </c>
      <c r="B247" s="784"/>
      <c r="C247" s="784"/>
      <c r="D247" s="784"/>
      <c r="E247" s="784"/>
      <c r="F247" s="785">
        <f>I241+I227+I209+I180+I159+I129+I78+I53+I33</f>
        <v>15260.95</v>
      </c>
      <c r="G247" s="785"/>
    </row>
    <row r="249" spans="1:13" s="71" customFormat="1" x14ac:dyDescent="0.2">
      <c r="A249" s="73"/>
      <c r="B249" s="73"/>
      <c r="C249" s="73"/>
      <c r="D249" s="73"/>
      <c r="E249" s="73"/>
      <c r="F249" s="598"/>
      <c r="G249" s="598"/>
      <c r="J249" s="599"/>
      <c r="K249" s="533"/>
      <c r="M249" s="400"/>
    </row>
    <row r="250" spans="1:13" x14ac:dyDescent="0.2">
      <c r="A250" s="748" t="s">
        <v>121</v>
      </c>
      <c r="B250" s="748"/>
      <c r="C250" s="748"/>
      <c r="D250" s="748"/>
      <c r="E250" s="748"/>
      <c r="F250" s="746">
        <f>F247/F245%</f>
        <v>16.055707522356656</v>
      </c>
      <c r="G250" s="746"/>
    </row>
    <row r="251" spans="1:13" x14ac:dyDescent="0.2">
      <c r="A251" s="73"/>
      <c r="B251" s="127"/>
      <c r="C251" s="73"/>
      <c r="D251" s="73"/>
      <c r="E251" s="73"/>
      <c r="F251" s="74"/>
      <c r="G251" s="74"/>
      <c r="H251" s="71"/>
      <c r="I251" s="71"/>
      <c r="J251" s="71"/>
      <c r="K251" s="132"/>
      <c r="L251" s="71"/>
    </row>
    <row r="252" spans="1:13" x14ac:dyDescent="0.2">
      <c r="A252" s="790" t="s">
        <v>146</v>
      </c>
      <c r="B252" s="790"/>
      <c r="C252" s="790"/>
      <c r="D252" s="790"/>
      <c r="E252" s="790"/>
      <c r="F252" s="747">
        <f>G241+G227+G209+G180+G159+G129+G78+G53+G33</f>
        <v>191404.79999999999</v>
      </c>
      <c r="G252" s="747"/>
      <c r="H252" s="71"/>
      <c r="I252" s="71"/>
      <c r="J252" s="71"/>
      <c r="K252" s="132"/>
      <c r="L252" s="71"/>
    </row>
    <row r="254" spans="1:13" s="1" customFormat="1" x14ac:dyDescent="0.2">
      <c r="A254" s="791" t="s">
        <v>122</v>
      </c>
      <c r="B254" s="791"/>
      <c r="C254" s="791"/>
      <c r="D254" s="791"/>
      <c r="E254" s="791"/>
      <c r="F254" s="792">
        <f>H53+H53+H78+H129+H159+H180+H209+H227+H241</f>
        <v>14730119136</v>
      </c>
      <c r="G254" s="792"/>
      <c r="H254" s="792"/>
      <c r="I254"/>
      <c r="J254"/>
      <c r="K254" s="123"/>
      <c r="L254"/>
    </row>
    <row r="255" spans="1:13" s="1" customFormat="1" x14ac:dyDescent="0.2">
      <c r="A255"/>
      <c r="B255" s="123"/>
      <c r="C255"/>
      <c r="D255"/>
      <c r="E255"/>
      <c r="F255"/>
      <c r="G255"/>
      <c r="H255"/>
      <c r="I255"/>
      <c r="J255"/>
      <c r="K255" s="123"/>
      <c r="L255"/>
    </row>
    <row r="256" spans="1:13" s="34" customFormat="1" x14ac:dyDescent="0.2">
      <c r="A256"/>
      <c r="B256" s="123"/>
      <c r="C256"/>
      <c r="D256"/>
      <c r="E256"/>
      <c r="F256"/>
      <c r="G256"/>
      <c r="H256"/>
      <c r="I256"/>
      <c r="J256"/>
      <c r="K256" s="123"/>
      <c r="L256"/>
      <c r="M256" s="701"/>
    </row>
    <row r="257" spans="1:13" s="34" customFormat="1" x14ac:dyDescent="0.2">
      <c r="A257" s="786" t="s">
        <v>59</v>
      </c>
      <c r="B257" s="774" t="s">
        <v>60</v>
      </c>
      <c r="C257" s="766" t="s">
        <v>61</v>
      </c>
      <c r="D257" s="767"/>
      <c r="E257" s="768"/>
      <c r="F257" s="766" t="s">
        <v>144</v>
      </c>
      <c r="G257" s="768"/>
      <c r="H257" s="5" t="s">
        <v>11</v>
      </c>
      <c r="I257" s="763" t="s">
        <v>62</v>
      </c>
      <c r="J257" s="765"/>
      <c r="K257" s="134" t="s">
        <v>65</v>
      </c>
      <c r="L257" s="5" t="s">
        <v>63</v>
      </c>
      <c r="M257" s="701"/>
    </row>
    <row r="258" spans="1:13" s="34" customFormat="1" x14ac:dyDescent="0.2">
      <c r="A258" s="787"/>
      <c r="B258" s="775"/>
      <c r="C258" s="769"/>
      <c r="D258" s="770"/>
      <c r="E258" s="771"/>
      <c r="F258" s="769"/>
      <c r="G258" s="771"/>
      <c r="H258" s="5" t="s">
        <v>147</v>
      </c>
      <c r="I258" s="5" t="s">
        <v>23</v>
      </c>
      <c r="J258" s="5" t="s">
        <v>9</v>
      </c>
      <c r="K258" s="134" t="s">
        <v>152</v>
      </c>
      <c r="L258" s="155" t="s">
        <v>64</v>
      </c>
      <c r="M258" s="701"/>
    </row>
    <row r="259" spans="1:13" s="34" customFormat="1" x14ac:dyDescent="0.2">
      <c r="A259" s="135">
        <v>2</v>
      </c>
      <c r="B259" s="110">
        <v>1</v>
      </c>
      <c r="C259" s="754" t="s">
        <v>179</v>
      </c>
      <c r="D259" s="755"/>
      <c r="E259" s="756"/>
      <c r="F259" s="752" t="s">
        <v>130</v>
      </c>
      <c r="G259" s="753"/>
      <c r="H259" s="245">
        <f>J37</f>
        <v>5000</v>
      </c>
      <c r="I259" s="137">
        <f>C54</f>
        <v>500</v>
      </c>
      <c r="J259" s="136">
        <f>G53</f>
        <v>6360</v>
      </c>
      <c r="K259" s="136">
        <f t="shared" ref="K259:K267" si="78">H259-I259</f>
        <v>4500</v>
      </c>
      <c r="L259" s="138">
        <f t="shared" ref="L259:L266" si="79">I259/H259%</f>
        <v>10</v>
      </c>
      <c r="M259" s="701"/>
    </row>
    <row r="260" spans="1:13" s="34" customFormat="1" x14ac:dyDescent="0.2">
      <c r="A260" s="135">
        <v>2</v>
      </c>
      <c r="B260" s="110">
        <v>2</v>
      </c>
      <c r="C260" s="754" t="s">
        <v>205</v>
      </c>
      <c r="D260" s="755"/>
      <c r="E260" s="756"/>
      <c r="F260" s="752" t="s">
        <v>68</v>
      </c>
      <c r="G260" s="753"/>
      <c r="H260" s="252">
        <f>J4</f>
        <v>10000</v>
      </c>
      <c r="I260" s="251">
        <f>I33</f>
        <v>1050.95</v>
      </c>
      <c r="J260" s="136">
        <f>G33</f>
        <v>12960</v>
      </c>
      <c r="K260" s="136">
        <f t="shared" si="78"/>
        <v>8949.0499999999993</v>
      </c>
      <c r="L260" s="138">
        <f t="shared" si="79"/>
        <v>10.509500000000001</v>
      </c>
      <c r="M260" s="701"/>
    </row>
    <row r="261" spans="1:13" s="34" customFormat="1" x14ac:dyDescent="0.2">
      <c r="A261" s="135">
        <v>1</v>
      </c>
      <c r="B261" s="110">
        <v>3</v>
      </c>
      <c r="C261" s="754" t="s">
        <v>239</v>
      </c>
      <c r="D261" s="755"/>
      <c r="E261" s="756"/>
      <c r="F261" s="752" t="s">
        <v>67</v>
      </c>
      <c r="G261" s="753"/>
      <c r="H261" s="252">
        <f>J58</f>
        <v>7000</v>
      </c>
      <c r="I261" s="251">
        <f>C79</f>
        <v>1500</v>
      </c>
      <c r="J261" s="136">
        <f>G78</f>
        <v>18960</v>
      </c>
      <c r="K261" s="136">
        <f t="shared" si="78"/>
        <v>5500</v>
      </c>
      <c r="L261" s="138">
        <f t="shared" si="79"/>
        <v>21.428571428571427</v>
      </c>
      <c r="M261" s="701"/>
    </row>
    <row r="262" spans="1:13" s="34" customFormat="1" x14ac:dyDescent="0.2">
      <c r="A262" s="276">
        <v>3</v>
      </c>
      <c r="B262" s="110">
        <v>4</v>
      </c>
      <c r="C262" s="757" t="s">
        <v>134</v>
      </c>
      <c r="D262" s="758"/>
      <c r="E262" s="759"/>
      <c r="F262" s="772" t="s">
        <v>69</v>
      </c>
      <c r="G262" s="773"/>
      <c r="H262" s="277">
        <f>J83</f>
        <v>55000</v>
      </c>
      <c r="I262" s="278">
        <f>I129</f>
        <v>9000</v>
      </c>
      <c r="J262" s="277">
        <f>G129</f>
        <v>112800</v>
      </c>
      <c r="K262" s="136">
        <f t="shared" si="78"/>
        <v>46000</v>
      </c>
      <c r="L262" s="138">
        <f t="shared" si="79"/>
        <v>16.363636363636363</v>
      </c>
      <c r="M262" s="701"/>
    </row>
    <row r="263" spans="1:13" s="34" customFormat="1" x14ac:dyDescent="0.2">
      <c r="A263" s="135">
        <v>4</v>
      </c>
      <c r="B263" s="110">
        <v>5</v>
      </c>
      <c r="C263" s="754" t="s">
        <v>236</v>
      </c>
      <c r="D263" s="755"/>
      <c r="E263" s="756"/>
      <c r="F263" s="752" t="s">
        <v>70</v>
      </c>
      <c r="G263" s="753"/>
      <c r="H263" s="245">
        <f>J134</f>
        <v>7500</v>
      </c>
      <c r="I263" s="142">
        <f>C160</f>
        <v>1700</v>
      </c>
      <c r="J263" s="136">
        <f>G159</f>
        <v>21600</v>
      </c>
      <c r="K263" s="136">
        <f t="shared" si="78"/>
        <v>5800</v>
      </c>
      <c r="L263" s="138">
        <f t="shared" si="79"/>
        <v>22.666666666666668</v>
      </c>
      <c r="M263" s="701"/>
    </row>
    <row r="264" spans="1:13" x14ac:dyDescent="0.2">
      <c r="A264" s="135">
        <v>4</v>
      </c>
      <c r="B264" s="110">
        <v>6</v>
      </c>
      <c r="C264" s="754" t="s">
        <v>237</v>
      </c>
      <c r="D264" s="755"/>
      <c r="E264" s="756"/>
      <c r="F264" s="752" t="s">
        <v>70</v>
      </c>
      <c r="G264" s="753"/>
      <c r="H264" s="136">
        <f>J164</f>
        <v>5000</v>
      </c>
      <c r="I264" s="292">
        <f>C181</f>
        <v>500</v>
      </c>
      <c r="J264" s="136">
        <f>G180</f>
        <v>6120</v>
      </c>
      <c r="K264" s="136">
        <f t="shared" si="78"/>
        <v>4500</v>
      </c>
      <c r="L264" s="138">
        <f t="shared" si="79"/>
        <v>10</v>
      </c>
    </row>
    <row r="265" spans="1:13" x14ac:dyDescent="0.2">
      <c r="A265" s="135">
        <v>4</v>
      </c>
      <c r="B265" s="110">
        <v>7</v>
      </c>
      <c r="C265" s="595" t="s">
        <v>261</v>
      </c>
      <c r="D265" s="596"/>
      <c r="E265" s="597"/>
      <c r="F265" s="752" t="s">
        <v>213</v>
      </c>
      <c r="G265" s="753"/>
      <c r="H265" s="136">
        <f>J185</f>
        <v>50</v>
      </c>
      <c r="I265" s="292">
        <f>I209</f>
        <v>10</v>
      </c>
      <c r="J265" s="136">
        <f>G209</f>
        <v>124.8</v>
      </c>
      <c r="K265" s="136">
        <f t="shared" si="78"/>
        <v>40</v>
      </c>
      <c r="L265" s="138">
        <f t="shared" si="79"/>
        <v>20</v>
      </c>
    </row>
    <row r="266" spans="1:13" s="97" customFormat="1" ht="15" x14ac:dyDescent="0.2">
      <c r="A266" s="135">
        <v>5</v>
      </c>
      <c r="B266" s="110">
        <v>8</v>
      </c>
      <c r="C266" s="754" t="s">
        <v>238</v>
      </c>
      <c r="D266" s="755"/>
      <c r="E266" s="756"/>
      <c r="F266" s="752" t="s">
        <v>71</v>
      </c>
      <c r="G266" s="753"/>
      <c r="H266" s="136">
        <f>J214</f>
        <v>5000</v>
      </c>
      <c r="I266" s="292">
        <f>I227</f>
        <v>1000</v>
      </c>
      <c r="J266" s="136">
        <f>G227</f>
        <v>12480</v>
      </c>
      <c r="K266" s="136">
        <f t="shared" si="78"/>
        <v>4000</v>
      </c>
      <c r="L266" s="138">
        <f t="shared" si="79"/>
        <v>20</v>
      </c>
      <c r="M266" s="99"/>
    </row>
    <row r="267" spans="1:13" x14ac:dyDescent="0.2">
      <c r="A267" s="749" t="s">
        <v>104</v>
      </c>
      <c r="B267" s="750"/>
      <c r="C267" s="750"/>
      <c r="D267" s="750"/>
      <c r="E267" s="751"/>
      <c r="F267" s="749"/>
      <c r="G267" s="751"/>
      <c r="H267" s="242">
        <f>SUM(H259:H266)</f>
        <v>94550</v>
      </c>
      <c r="I267" s="141">
        <f>SUM(I259:I266)</f>
        <v>15260.95</v>
      </c>
      <c r="J267" s="140">
        <f>SUM(J259:J266)</f>
        <v>191404.79999999999</v>
      </c>
      <c r="K267" s="140">
        <f t="shared" si="78"/>
        <v>79289.05</v>
      </c>
      <c r="L267" s="275">
        <f>I267/H267%</f>
        <v>16.140613432046536</v>
      </c>
    </row>
    <row r="268" spans="1:13" ht="15" x14ac:dyDescent="0.2">
      <c r="A268" s="1"/>
      <c r="B268" s="130"/>
      <c r="C268" s="95"/>
      <c r="E268" s="95"/>
      <c r="I268" s="96"/>
      <c r="K268" s="2"/>
      <c r="L268" s="241"/>
    </row>
    <row r="269" spans="1:13" ht="15" x14ac:dyDescent="0.2">
      <c r="A269" s="99"/>
      <c r="B269" s="743" t="s">
        <v>284</v>
      </c>
      <c r="C269" s="744"/>
      <c r="D269" s="744"/>
      <c r="E269" s="744"/>
      <c r="F269" s="744"/>
      <c r="G269" s="745"/>
      <c r="H269" s="243">
        <f>H267</f>
        <v>94550</v>
      </c>
      <c r="I269" s="279">
        <f>I267</f>
        <v>15260.95</v>
      </c>
      <c r="J269" s="244">
        <f>J267</f>
        <v>191404.79999999999</v>
      </c>
      <c r="K269" s="396">
        <f>K267</f>
        <v>79289.05</v>
      </c>
      <c r="L269" s="274">
        <f>L267</f>
        <v>16.140613432046536</v>
      </c>
    </row>
    <row r="270" spans="1:13" x14ac:dyDescent="0.2">
      <c r="A270" s="1"/>
      <c r="B270" s="130"/>
      <c r="C270" s="95"/>
      <c r="E270" s="95"/>
      <c r="I270" s="96"/>
    </row>
    <row r="271" spans="1:13" x14ac:dyDescent="0.2">
      <c r="A271" s="1"/>
      <c r="B271" s="130"/>
      <c r="C271" s="95"/>
      <c r="E271" s="95"/>
      <c r="I271" s="96"/>
    </row>
    <row r="272" spans="1:13" x14ac:dyDescent="0.2">
      <c r="A272" s="1"/>
      <c r="B272" s="130"/>
      <c r="C272" s="95"/>
      <c r="E272" s="95"/>
      <c r="I272" s="96"/>
    </row>
    <row r="273" spans="1:9" x14ac:dyDescent="0.2">
      <c r="A273" s="1"/>
      <c r="B273" s="130"/>
      <c r="C273" s="95"/>
      <c r="E273" s="95"/>
      <c r="I273" s="96"/>
    </row>
    <row r="274" spans="1:9" x14ac:dyDescent="0.2">
      <c r="A274" s="1"/>
      <c r="B274" s="130"/>
      <c r="C274" s="95"/>
      <c r="E274" s="95"/>
      <c r="I274" s="96"/>
    </row>
    <row r="275" spans="1:9" x14ac:dyDescent="0.2">
      <c r="A275" s="1"/>
      <c r="B275" s="130"/>
      <c r="C275" s="95"/>
      <c r="E275" s="95"/>
      <c r="I275" s="96"/>
    </row>
    <row r="276" spans="1:9" x14ac:dyDescent="0.2">
      <c r="A276" s="1"/>
      <c r="B276" s="130"/>
      <c r="C276" s="95"/>
      <c r="E276" s="95"/>
      <c r="I276" s="95"/>
    </row>
    <row r="277" spans="1:9" x14ac:dyDescent="0.2">
      <c r="A277" s="1"/>
      <c r="B277" s="130"/>
      <c r="C277" s="95"/>
      <c r="E277" s="95"/>
    </row>
    <row r="278" spans="1:9" x14ac:dyDescent="0.2">
      <c r="A278" s="1"/>
      <c r="B278" s="130"/>
      <c r="C278" s="95"/>
      <c r="E278" s="95"/>
    </row>
    <row r="279" spans="1:9" x14ac:dyDescent="0.2">
      <c r="A279" s="1"/>
      <c r="B279" s="130"/>
      <c r="C279" s="95"/>
      <c r="E279" s="95"/>
    </row>
    <row r="280" spans="1:9" x14ac:dyDescent="0.2">
      <c r="A280" s="1"/>
      <c r="B280" s="130"/>
      <c r="C280" s="95"/>
      <c r="E280" s="95"/>
    </row>
    <row r="281" spans="1:9" x14ac:dyDescent="0.2">
      <c r="C281" s="95"/>
      <c r="E281" s="95"/>
    </row>
    <row r="282" spans="1:9" x14ac:dyDescent="0.2">
      <c r="C282" s="95"/>
      <c r="E282" s="95"/>
    </row>
    <row r="283" spans="1:9" x14ac:dyDescent="0.2">
      <c r="C283" s="95"/>
      <c r="E283" s="95"/>
    </row>
    <row r="284" spans="1:9" x14ac:dyDescent="0.2">
      <c r="C284" s="95"/>
      <c r="E284" s="95"/>
    </row>
    <row r="285" spans="1:9" x14ac:dyDescent="0.2">
      <c r="C285" s="95"/>
      <c r="E285" s="95"/>
    </row>
    <row r="286" spans="1:9" x14ac:dyDescent="0.2">
      <c r="C286" s="95"/>
      <c r="E286" s="95"/>
    </row>
  </sheetData>
  <mergeCells count="132">
    <mergeCell ref="F257:G258"/>
    <mergeCell ref="A2:K2"/>
    <mergeCell ref="B231:I231"/>
    <mergeCell ref="A215:A216"/>
    <mergeCell ref="A227:B227"/>
    <mergeCell ref="C34:F34"/>
    <mergeCell ref="A130:B130"/>
    <mergeCell ref="C130:F130"/>
    <mergeCell ref="K163:L164"/>
    <mergeCell ref="K231:L232"/>
    <mergeCell ref="C260:E260"/>
    <mergeCell ref="F245:G245"/>
    <mergeCell ref="I257:J257"/>
    <mergeCell ref="K233:K234"/>
    <mergeCell ref="A228:B228"/>
    <mergeCell ref="C228:F228"/>
    <mergeCell ref="C259:E259"/>
    <mergeCell ref="B232:I232"/>
    <mergeCell ref="A233:A234"/>
    <mergeCell ref="F260:G260"/>
    <mergeCell ref="K3:L4"/>
    <mergeCell ref="A54:B54"/>
    <mergeCell ref="K165:K166"/>
    <mergeCell ref="A165:A166"/>
    <mergeCell ref="B135:B136"/>
    <mergeCell ref="K215:K216"/>
    <mergeCell ref="H215:I215"/>
    <mergeCell ref="B4:I4"/>
    <mergeCell ref="H5:I5"/>
    <mergeCell ref="B5:B6"/>
    <mergeCell ref="A254:E254"/>
    <mergeCell ref="A210:B210"/>
    <mergeCell ref="B215:B216"/>
    <mergeCell ref="H233:I233"/>
    <mergeCell ref="B213:I213"/>
    <mergeCell ref="F254:H254"/>
    <mergeCell ref="B233:B234"/>
    <mergeCell ref="C233:F233"/>
    <mergeCell ref="A241:B241"/>
    <mergeCell ref="A1:L1"/>
    <mergeCell ref="H165:I165"/>
    <mergeCell ref="B165:B166"/>
    <mergeCell ref="K135:K136"/>
    <mergeCell ref="A135:A136"/>
    <mergeCell ref="F265:G265"/>
    <mergeCell ref="C165:F165"/>
    <mergeCell ref="C160:F160"/>
    <mergeCell ref="A245:E245"/>
    <mergeCell ref="A252:E252"/>
    <mergeCell ref="F264:G264"/>
    <mergeCell ref="A78:B78"/>
    <mergeCell ref="B59:B60"/>
    <mergeCell ref="K57:L58"/>
    <mergeCell ref="B3:I3"/>
    <mergeCell ref="C54:F54"/>
    <mergeCell ref="A53:B53"/>
    <mergeCell ref="B57:I57"/>
    <mergeCell ref="H38:I38"/>
    <mergeCell ref="H135:I135"/>
    <mergeCell ref="A33:B33"/>
    <mergeCell ref="A34:B34"/>
    <mergeCell ref="F263:G263"/>
    <mergeCell ref="A247:E247"/>
    <mergeCell ref="F247:G247"/>
    <mergeCell ref="A257:A258"/>
    <mergeCell ref="F261:G261"/>
    <mergeCell ref="A59:A60"/>
    <mergeCell ref="B84:B85"/>
    <mergeCell ref="A79:B79"/>
    <mergeCell ref="K36:L37"/>
    <mergeCell ref="K38:K39"/>
    <mergeCell ref="B37:I37"/>
    <mergeCell ref="K5:K6"/>
    <mergeCell ref="A38:A39"/>
    <mergeCell ref="A5:A6"/>
    <mergeCell ref="C5:F5"/>
    <mergeCell ref="B36:I36"/>
    <mergeCell ref="C38:F38"/>
    <mergeCell ref="B38:B39"/>
    <mergeCell ref="A84:A85"/>
    <mergeCell ref="B83:I83"/>
    <mergeCell ref="C84:F84"/>
    <mergeCell ref="H84:I84"/>
    <mergeCell ref="B58:I58"/>
    <mergeCell ref="B82:I82"/>
    <mergeCell ref="K82:L83"/>
    <mergeCell ref="K59:K60"/>
    <mergeCell ref="H59:I59"/>
    <mergeCell ref="C79:F79"/>
    <mergeCell ref="C59:F59"/>
    <mergeCell ref="K84:K85"/>
    <mergeCell ref="K133:L134"/>
    <mergeCell ref="B133:I133"/>
    <mergeCell ref="B134:I134"/>
    <mergeCell ref="A129:B129"/>
    <mergeCell ref="A180:B180"/>
    <mergeCell ref="A181:B181"/>
    <mergeCell ref="C181:F181"/>
    <mergeCell ref="A159:B159"/>
    <mergeCell ref="A160:B160"/>
    <mergeCell ref="C263:E263"/>
    <mergeCell ref="C264:E264"/>
    <mergeCell ref="C135:F135"/>
    <mergeCell ref="C215:F215"/>
    <mergeCell ref="B163:I163"/>
    <mergeCell ref="C257:E258"/>
    <mergeCell ref="B164:I164"/>
    <mergeCell ref="F262:G262"/>
    <mergeCell ref="B257:B258"/>
    <mergeCell ref="C261:E261"/>
    <mergeCell ref="B269:G269"/>
    <mergeCell ref="F250:G250"/>
    <mergeCell ref="F252:G252"/>
    <mergeCell ref="A250:E250"/>
    <mergeCell ref="A267:E267"/>
    <mergeCell ref="F259:G259"/>
    <mergeCell ref="C266:E266"/>
    <mergeCell ref="C262:E262"/>
    <mergeCell ref="F267:G267"/>
    <mergeCell ref="F266:G266"/>
    <mergeCell ref="B184:I184"/>
    <mergeCell ref="B214:I214"/>
    <mergeCell ref="K184:L185"/>
    <mergeCell ref="B185:I185"/>
    <mergeCell ref="K213:L214"/>
    <mergeCell ref="C210:F210"/>
    <mergeCell ref="A186:A187"/>
    <mergeCell ref="B186:B187"/>
    <mergeCell ref="C186:F186"/>
    <mergeCell ref="H186:I186"/>
    <mergeCell ref="K186:K187"/>
    <mergeCell ref="A209:B209"/>
  </mergeCells>
  <phoneticPr fontId="0" type="noConversion"/>
  <pageMargins left="0.11811023622047245" right="0" top="0.39370078740157483" bottom="0.19685039370078741" header="0.51181102362204722" footer="0.51181102362204722"/>
  <pageSetup paperSize="5" scale="85" orientation="portrait" verticalDpi="18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D16E2-DEA1-41A6-ABCD-9CB21736610F}">
  <dimension ref="A1:P99"/>
  <sheetViews>
    <sheetView workbookViewId="0">
      <selection activeCell="L4" sqref="L4"/>
    </sheetView>
  </sheetViews>
  <sheetFormatPr defaultRowHeight="12.75" x14ac:dyDescent="0.2"/>
  <cols>
    <col min="1" max="1" width="8.7109375" style="1" customWidth="1"/>
    <col min="2" max="2" width="9.140625" style="130" customWidth="1"/>
    <col min="3" max="3" width="8.85546875" style="1" customWidth="1"/>
    <col min="4" max="5" width="8.7109375" style="1" customWidth="1"/>
    <col min="6" max="6" width="8.28515625" style="1" customWidth="1"/>
    <col min="7" max="7" width="11.85546875" style="519" customWidth="1"/>
    <col min="8" max="8" width="7.28515625" style="1" customWidth="1"/>
    <col min="9" max="9" width="8" style="1" customWidth="1"/>
    <col min="10" max="10" width="10" style="130" customWidth="1"/>
    <col min="11" max="11" width="8.5703125" style="1" customWidth="1"/>
    <col min="12" max="12" width="13" style="399" customWidth="1"/>
    <col min="13" max="13" width="9.28515625" style="400" customWidth="1"/>
    <col min="14" max="15" width="9.140625" style="1"/>
    <col min="16" max="16" width="9.140625" style="495"/>
    <col min="17" max="16384" width="9.140625" style="1"/>
  </cols>
  <sheetData>
    <row r="1" spans="1:12" ht="18" x14ac:dyDescent="0.2">
      <c r="A1" s="816" t="s">
        <v>232</v>
      </c>
      <c r="B1" s="816"/>
      <c r="C1" s="816"/>
      <c r="D1" s="816"/>
      <c r="E1" s="816"/>
      <c r="F1" s="816"/>
      <c r="G1" s="816"/>
      <c r="H1" s="816"/>
      <c r="I1" s="816"/>
      <c r="J1" s="816"/>
      <c r="K1" s="816"/>
    </row>
    <row r="2" spans="1:12" ht="26.25" x14ac:dyDescent="0.2">
      <c r="A2" s="794" t="str">
        <f>GDSL!A2</f>
        <v>TAHUN 2026</v>
      </c>
      <c r="B2" s="794"/>
      <c r="C2" s="794"/>
      <c r="D2" s="794"/>
      <c r="E2" s="794"/>
      <c r="F2" s="794"/>
      <c r="G2" s="794"/>
      <c r="H2" s="794"/>
      <c r="I2" s="794"/>
      <c r="J2" s="794"/>
      <c r="K2" s="794"/>
    </row>
    <row r="3" spans="1:12" ht="15" x14ac:dyDescent="0.25">
      <c r="A3" s="117" t="s">
        <v>0</v>
      </c>
      <c r="B3" s="760" t="s">
        <v>25</v>
      </c>
      <c r="C3" s="761"/>
      <c r="D3" s="761"/>
      <c r="E3" s="761"/>
      <c r="F3" s="761"/>
      <c r="G3" s="761"/>
      <c r="H3" s="762"/>
      <c r="I3" s="70" t="s">
        <v>11</v>
      </c>
      <c r="J3" s="797" t="s">
        <v>15</v>
      </c>
      <c r="K3" s="798"/>
      <c r="L3" s="707">
        <v>46077</v>
      </c>
    </row>
    <row r="4" spans="1:12" ht="14.25" x14ac:dyDescent="0.2">
      <c r="A4" s="117" t="s">
        <v>1</v>
      </c>
      <c r="B4" s="736" t="s">
        <v>196</v>
      </c>
      <c r="C4" s="737"/>
      <c r="D4" s="737"/>
      <c r="E4" s="737"/>
      <c r="F4" s="737"/>
      <c r="G4" s="737"/>
      <c r="H4" s="738"/>
      <c r="I4" s="69">
        <v>160</v>
      </c>
      <c r="J4" s="799"/>
      <c r="K4" s="800"/>
    </row>
    <row r="5" spans="1:12" x14ac:dyDescent="0.2">
      <c r="A5" s="801" t="s">
        <v>3</v>
      </c>
      <c r="B5" s="803" t="s">
        <v>126</v>
      </c>
      <c r="C5" s="731" t="s">
        <v>19</v>
      </c>
      <c r="D5" s="805"/>
      <c r="E5" s="806"/>
      <c r="F5" s="807" t="s">
        <v>24</v>
      </c>
      <c r="G5" s="805"/>
      <c r="H5" s="806"/>
      <c r="I5" s="81" t="s">
        <v>12</v>
      </c>
      <c r="J5" s="801" t="s">
        <v>3</v>
      </c>
      <c r="K5" s="117" t="s">
        <v>13</v>
      </c>
    </row>
    <row r="6" spans="1:12" x14ac:dyDescent="0.2">
      <c r="A6" s="802"/>
      <c r="B6" s="804"/>
      <c r="C6" s="5" t="s">
        <v>20</v>
      </c>
      <c r="D6" s="5" t="s">
        <v>21</v>
      </c>
      <c r="E6" s="5" t="s">
        <v>22</v>
      </c>
      <c r="F6" s="91" t="s">
        <v>9</v>
      </c>
      <c r="G6" s="515" t="s">
        <v>8</v>
      </c>
      <c r="H6" s="67" t="s">
        <v>23</v>
      </c>
      <c r="I6" s="67" t="s">
        <v>23</v>
      </c>
      <c r="J6" s="802"/>
      <c r="K6" s="117" t="s">
        <v>14</v>
      </c>
    </row>
    <row r="7" spans="1:12" x14ac:dyDescent="0.2">
      <c r="A7" s="676" t="s">
        <v>182</v>
      </c>
      <c r="B7" s="677">
        <v>45931</v>
      </c>
      <c r="C7" s="678">
        <v>710400</v>
      </c>
      <c r="D7" s="678">
        <v>1287600</v>
      </c>
      <c r="E7" s="678">
        <v>976800</v>
      </c>
      <c r="F7" s="496"/>
      <c r="G7" s="558"/>
      <c r="H7" s="638"/>
      <c r="I7" s="257"/>
      <c r="J7" s="122"/>
      <c r="K7" s="4"/>
    </row>
    <row r="8" spans="1:12" x14ac:dyDescent="0.2">
      <c r="A8" s="431"/>
      <c r="B8" s="432"/>
      <c r="C8" s="6"/>
      <c r="D8" s="6"/>
      <c r="E8" s="6"/>
      <c r="F8" s="14">
        <f>C8*10+D8*10+E8*10</f>
        <v>0</v>
      </c>
      <c r="G8" s="8">
        <f>(C8*C$7+D8*D$7+E8*E$7)</f>
        <v>0</v>
      </c>
      <c r="H8" s="8">
        <f>C8+D8+E8</f>
        <v>0</v>
      </c>
      <c r="I8" s="9">
        <f>I4-H8</f>
        <v>160</v>
      </c>
      <c r="J8" s="122"/>
      <c r="K8" s="15">
        <f>J8-A8</f>
        <v>0</v>
      </c>
    </row>
    <row r="9" spans="1:12" x14ac:dyDescent="0.2">
      <c r="A9" s="431"/>
      <c r="B9" s="651"/>
      <c r="C9" s="283"/>
      <c r="D9" s="283"/>
      <c r="E9" s="283"/>
      <c r="F9" s="528">
        <f>C9*10+D9*10+E9*10</f>
        <v>0</v>
      </c>
      <c r="G9" s="8">
        <f>(C9*C$7+D9*D$7+E9*E$7)</f>
        <v>0</v>
      </c>
      <c r="H9" s="284">
        <f>C9+D9+E9</f>
        <v>0</v>
      </c>
      <c r="I9" s="349">
        <f>I8-H9</f>
        <v>160</v>
      </c>
      <c r="J9" s="122"/>
      <c r="K9" s="15">
        <f>J9-A9</f>
        <v>0</v>
      </c>
    </row>
    <row r="10" spans="1:12" x14ac:dyDescent="0.2">
      <c r="A10" s="431"/>
      <c r="B10" s="433"/>
      <c r="C10" s="6"/>
      <c r="D10" s="6"/>
      <c r="E10" s="6"/>
      <c r="F10" s="14">
        <f>C10*10+D10*10+E10*10</f>
        <v>0</v>
      </c>
      <c r="G10" s="8">
        <f>(C10*C$7+D10*D$7+E10*E$7)</f>
        <v>0</v>
      </c>
      <c r="H10" s="8">
        <f>C10+D10+E10</f>
        <v>0</v>
      </c>
      <c r="I10" s="9">
        <f>I9-H10</f>
        <v>160</v>
      </c>
      <c r="J10" s="122"/>
      <c r="K10" s="15">
        <f>J10-A10</f>
        <v>0</v>
      </c>
    </row>
    <row r="11" spans="1:12" x14ac:dyDescent="0.2">
      <c r="A11" s="431"/>
      <c r="B11" s="433"/>
      <c r="C11" s="6"/>
      <c r="D11" s="6"/>
      <c r="E11" s="6"/>
      <c r="F11" s="14">
        <f>C11*10+D11*10+E11*10</f>
        <v>0</v>
      </c>
      <c r="G11" s="8">
        <f>(C11*C$7+D11*D$7+E11*E$7)</f>
        <v>0</v>
      </c>
      <c r="H11" s="8">
        <f>C11+D11+E11</f>
        <v>0</v>
      </c>
      <c r="I11" s="9">
        <f>I10-H11</f>
        <v>160</v>
      </c>
      <c r="J11" s="122"/>
      <c r="K11" s="15">
        <f>J11-A11</f>
        <v>0</v>
      </c>
    </row>
    <row r="12" spans="1:12" x14ac:dyDescent="0.2">
      <c r="A12" s="431"/>
      <c r="B12" s="433"/>
      <c r="C12" s="6"/>
      <c r="D12" s="6"/>
      <c r="E12" s="6"/>
      <c r="F12" s="14">
        <f>C12*10+D12*10+E12*10</f>
        <v>0</v>
      </c>
      <c r="G12" s="8">
        <f>(C12*C$7+D12*D$7+E12*E$7)</f>
        <v>0</v>
      </c>
      <c r="H12" s="8">
        <f>C12+D12+E12</f>
        <v>0</v>
      </c>
      <c r="I12" s="9">
        <f>I11-H12</f>
        <v>160</v>
      </c>
      <c r="J12" s="122"/>
      <c r="K12" s="15">
        <f>J12-A12</f>
        <v>0</v>
      </c>
    </row>
    <row r="13" spans="1:12" x14ac:dyDescent="0.2">
      <c r="A13" s="731" t="s">
        <v>18</v>
      </c>
      <c r="B13" s="806"/>
      <c r="C13" s="280">
        <f t="shared" ref="C13:H13" si="0">SUM(C8:C12)</f>
        <v>0</v>
      </c>
      <c r="D13" s="280">
        <f t="shared" si="0"/>
        <v>0</v>
      </c>
      <c r="E13" s="24">
        <f t="shared" si="0"/>
        <v>0</v>
      </c>
      <c r="F13" s="524">
        <f t="shared" si="0"/>
        <v>0</v>
      </c>
      <c r="G13" s="79">
        <f t="shared" si="0"/>
        <v>0</v>
      </c>
      <c r="H13" s="48">
        <f t="shared" si="0"/>
        <v>0</v>
      </c>
      <c r="I13" s="63">
        <f>I4-H13</f>
        <v>160</v>
      </c>
      <c r="J13" s="121"/>
      <c r="K13" s="4"/>
    </row>
    <row r="14" spans="1:12" x14ac:dyDescent="0.2">
      <c r="A14" s="4"/>
      <c r="B14" s="121"/>
      <c r="C14" s="499"/>
      <c r="D14" s="499"/>
      <c r="E14" s="498"/>
      <c r="F14" s="498"/>
      <c r="G14" s="516" t="s">
        <v>46</v>
      </c>
      <c r="H14" s="505">
        <f>H13/I4%</f>
        <v>0</v>
      </c>
      <c r="I14" s="506">
        <f>I13/I4%</f>
        <v>100</v>
      </c>
      <c r="J14" s="121"/>
      <c r="K14" s="4"/>
    </row>
    <row r="15" spans="1:12" x14ac:dyDescent="0.2">
      <c r="A15" s="16"/>
      <c r="B15" s="125"/>
      <c r="C15" s="502"/>
      <c r="D15" s="502"/>
      <c r="E15" s="503"/>
      <c r="F15" s="503"/>
      <c r="G15" s="517"/>
      <c r="H15" s="566"/>
      <c r="I15" s="567"/>
      <c r="J15" s="125"/>
      <c r="K15" s="16"/>
    </row>
    <row r="16" spans="1:12" ht="15" x14ac:dyDescent="0.25">
      <c r="A16" s="117" t="s">
        <v>0</v>
      </c>
      <c r="B16" s="760" t="s">
        <v>25</v>
      </c>
      <c r="C16" s="761"/>
      <c r="D16" s="761"/>
      <c r="E16" s="761"/>
      <c r="F16" s="761"/>
      <c r="G16" s="761"/>
      <c r="H16" s="762"/>
      <c r="I16" s="70" t="s">
        <v>11</v>
      </c>
      <c r="J16" s="797" t="s">
        <v>15</v>
      </c>
      <c r="K16" s="798"/>
    </row>
    <row r="17" spans="1:15" ht="14.25" x14ac:dyDescent="0.2">
      <c r="A17" s="117" t="s">
        <v>1</v>
      </c>
      <c r="B17" s="736" t="s">
        <v>263</v>
      </c>
      <c r="C17" s="737"/>
      <c r="D17" s="737"/>
      <c r="E17" s="737"/>
      <c r="F17" s="737"/>
      <c r="G17" s="737"/>
      <c r="H17" s="738"/>
      <c r="I17" s="69">
        <v>50</v>
      </c>
      <c r="J17" s="799"/>
      <c r="K17" s="800"/>
    </row>
    <row r="18" spans="1:15" x14ac:dyDescent="0.2">
      <c r="A18" s="801" t="s">
        <v>3</v>
      </c>
      <c r="B18" s="803" t="s">
        <v>126</v>
      </c>
      <c r="C18" s="731" t="s">
        <v>19</v>
      </c>
      <c r="D18" s="805"/>
      <c r="E18" s="806"/>
      <c r="F18" s="807" t="s">
        <v>24</v>
      </c>
      <c r="G18" s="805"/>
      <c r="H18" s="806"/>
      <c r="I18" s="81" t="s">
        <v>12</v>
      </c>
      <c r="J18" s="801" t="s">
        <v>3</v>
      </c>
      <c r="K18" s="117" t="s">
        <v>13</v>
      </c>
    </row>
    <row r="19" spans="1:15" x14ac:dyDescent="0.2">
      <c r="A19" s="802"/>
      <c r="B19" s="804"/>
      <c r="C19" s="5" t="s">
        <v>20</v>
      </c>
      <c r="D19" s="5" t="s">
        <v>21</v>
      </c>
      <c r="E19" s="5" t="s">
        <v>22</v>
      </c>
      <c r="F19" s="91" t="s">
        <v>9</v>
      </c>
      <c r="G19" s="515" t="s">
        <v>8</v>
      </c>
      <c r="H19" s="67" t="s">
        <v>23</v>
      </c>
      <c r="I19" s="67" t="s">
        <v>23</v>
      </c>
      <c r="J19" s="802"/>
      <c r="K19" s="117" t="s">
        <v>14</v>
      </c>
    </row>
    <row r="20" spans="1:15" x14ac:dyDescent="0.2">
      <c r="A20" s="676" t="s">
        <v>182</v>
      </c>
      <c r="B20" s="677">
        <v>45931</v>
      </c>
      <c r="C20" s="678">
        <v>710400</v>
      </c>
      <c r="D20" s="678">
        <v>1287600</v>
      </c>
      <c r="E20" s="678">
        <v>976800</v>
      </c>
      <c r="F20" s="496"/>
      <c r="G20" s="558"/>
      <c r="H20" s="638"/>
      <c r="I20" s="257"/>
      <c r="J20" s="122"/>
      <c r="K20" s="4"/>
    </row>
    <row r="21" spans="1:15" x14ac:dyDescent="0.2">
      <c r="A21" s="431"/>
      <c r="B21" s="653"/>
      <c r="C21" s="6"/>
      <c r="D21" s="6"/>
      <c r="E21" s="6"/>
      <c r="F21" s="14">
        <f>C21*10+D21*10+E21*10</f>
        <v>0</v>
      </c>
      <c r="G21" s="115">
        <f>(C21*C$20+D21*D$20+E21*E$20)</f>
        <v>0</v>
      </c>
      <c r="H21" s="8">
        <f>C21+D21+E21</f>
        <v>0</v>
      </c>
      <c r="I21" s="9">
        <f>I17-H21</f>
        <v>50</v>
      </c>
      <c r="J21" s="122"/>
      <c r="K21" s="15">
        <f>J21-A21</f>
        <v>0</v>
      </c>
      <c r="L21" s="709"/>
      <c r="M21" s="709"/>
      <c r="N21" s="709"/>
      <c r="O21" s="709"/>
    </row>
    <row r="22" spans="1:15" x14ac:dyDescent="0.2">
      <c r="A22" s="431"/>
      <c r="B22" s="433"/>
      <c r="C22" s="6"/>
      <c r="D22" s="6"/>
      <c r="E22" s="6"/>
      <c r="F22" s="14">
        <f>C22*10+D22*10+E22*10</f>
        <v>0</v>
      </c>
      <c r="G22" s="115">
        <f>(C22*C$20+D22*D$20+E22*E$20)</f>
        <v>0</v>
      </c>
      <c r="H22" s="8">
        <f>C22+D22+E22</f>
        <v>0</v>
      </c>
      <c r="I22" s="9">
        <f>I21-H22</f>
        <v>50</v>
      </c>
      <c r="J22" s="122"/>
      <c r="K22" s="15">
        <f>J22-A22</f>
        <v>0</v>
      </c>
      <c r="L22" s="709"/>
      <c r="M22" s="709"/>
      <c r="N22" s="709"/>
      <c r="O22" s="709"/>
    </row>
    <row r="23" spans="1:15" x14ac:dyDescent="0.2">
      <c r="A23" s="431"/>
      <c r="B23" s="433"/>
      <c r="C23" s="6"/>
      <c r="D23" s="6"/>
      <c r="E23" s="6"/>
      <c r="F23" s="14">
        <f>C23*10+D23*10+E23*10</f>
        <v>0</v>
      </c>
      <c r="G23" s="115">
        <f>(C23*C$20+D23*D$20+E23*E$20)</f>
        <v>0</v>
      </c>
      <c r="H23" s="8">
        <f>C23+D23+E23</f>
        <v>0</v>
      </c>
      <c r="I23" s="9">
        <f>I22-H23</f>
        <v>50</v>
      </c>
      <c r="J23" s="122"/>
      <c r="K23" s="15">
        <f>J23-A23</f>
        <v>0</v>
      </c>
      <c r="L23" s="709"/>
      <c r="M23" s="709"/>
      <c r="N23" s="709"/>
      <c r="O23" s="709"/>
    </row>
    <row r="24" spans="1:15" x14ac:dyDescent="0.2">
      <c r="A24" s="431"/>
      <c r="B24" s="433"/>
      <c r="C24" s="6"/>
      <c r="D24" s="6"/>
      <c r="E24" s="6"/>
      <c r="F24" s="14">
        <f>C24*10+D24*10+E24*10</f>
        <v>0</v>
      </c>
      <c r="G24" s="115">
        <f>(C24*C$20+D24*D$20+E24*E$20)</f>
        <v>0</v>
      </c>
      <c r="H24" s="8">
        <f>C24+D24+E24</f>
        <v>0</v>
      </c>
      <c r="I24" s="9">
        <f>I23-H24</f>
        <v>50</v>
      </c>
      <c r="J24" s="122"/>
      <c r="K24" s="15">
        <f>J24-A24</f>
        <v>0</v>
      </c>
    </row>
    <row r="25" spans="1:15" x14ac:dyDescent="0.2">
      <c r="A25" s="431"/>
      <c r="B25" s="433"/>
      <c r="C25" s="6"/>
      <c r="D25" s="6"/>
      <c r="E25" s="6"/>
      <c r="F25" s="14">
        <f>C25*10+D25*10+E25*10</f>
        <v>0</v>
      </c>
      <c r="G25" s="115">
        <f>(C25*C$20+D25*D$20+E25*E$20)</f>
        <v>0</v>
      </c>
      <c r="H25" s="8">
        <f>C25+D25+E25</f>
        <v>0</v>
      </c>
      <c r="I25" s="9">
        <f>I24-H25</f>
        <v>50</v>
      </c>
      <c r="J25" s="122"/>
      <c r="K25" s="15">
        <f>J25-A25</f>
        <v>0</v>
      </c>
    </row>
    <row r="26" spans="1:15" x14ac:dyDescent="0.2">
      <c r="A26" s="731" t="s">
        <v>18</v>
      </c>
      <c r="B26" s="806"/>
      <c r="C26" s="280">
        <f t="shared" ref="C26:H26" si="1">SUM(C21:C25)</f>
        <v>0</v>
      </c>
      <c r="D26" s="280">
        <f t="shared" si="1"/>
        <v>0</v>
      </c>
      <c r="E26" s="24">
        <f t="shared" si="1"/>
        <v>0</v>
      </c>
      <c r="F26" s="524">
        <f t="shared" si="1"/>
        <v>0</v>
      </c>
      <c r="G26" s="79">
        <f t="shared" si="1"/>
        <v>0</v>
      </c>
      <c r="H26" s="48">
        <f t="shared" si="1"/>
        <v>0</v>
      </c>
      <c r="I26" s="63">
        <f>I17-H26</f>
        <v>50</v>
      </c>
      <c r="J26" s="121"/>
      <c r="K26" s="4"/>
    </row>
    <row r="27" spans="1:15" x14ac:dyDescent="0.2">
      <c r="A27" s="4"/>
      <c r="B27" s="121"/>
      <c r="C27" s="499"/>
      <c r="D27" s="499"/>
      <c r="E27" s="498"/>
      <c r="F27" s="498"/>
      <c r="G27" s="516" t="s">
        <v>46</v>
      </c>
      <c r="H27" s="505">
        <f>H26/I17%</f>
        <v>0</v>
      </c>
      <c r="I27" s="506">
        <f>I26/I17%</f>
        <v>100</v>
      </c>
      <c r="J27" s="121"/>
      <c r="K27" s="4"/>
    </row>
    <row r="28" spans="1:15" x14ac:dyDescent="0.2">
      <c r="A28" s="16"/>
      <c r="B28" s="125"/>
      <c r="C28" s="502"/>
      <c r="D28" s="502"/>
      <c r="E28" s="503"/>
      <c r="F28" s="503"/>
      <c r="G28" s="18"/>
      <c r="H28" s="503"/>
      <c r="I28" s="504"/>
      <c r="J28" s="125"/>
      <c r="K28" s="16"/>
    </row>
    <row r="29" spans="1:15" x14ac:dyDescent="0.2">
      <c r="A29" s="16"/>
      <c r="B29" s="125"/>
      <c r="C29" s="502"/>
      <c r="D29" s="502"/>
      <c r="E29" s="503"/>
      <c r="F29" s="503"/>
      <c r="G29" s="18"/>
      <c r="H29" s="503"/>
      <c r="I29" s="504"/>
      <c r="J29" s="125"/>
      <c r="K29" s="16"/>
    </row>
    <row r="30" spans="1:15" ht="15" x14ac:dyDescent="0.25">
      <c r="A30" s="117" t="s">
        <v>0</v>
      </c>
      <c r="B30" s="760" t="s">
        <v>25</v>
      </c>
      <c r="C30" s="761"/>
      <c r="D30" s="761"/>
      <c r="E30" s="761"/>
      <c r="F30" s="761"/>
      <c r="G30" s="761"/>
      <c r="H30" s="762"/>
      <c r="I30" s="70" t="s">
        <v>11</v>
      </c>
      <c r="J30" s="797" t="s">
        <v>15</v>
      </c>
      <c r="K30" s="798"/>
      <c r="L30" s="705">
        <v>46062</v>
      </c>
    </row>
    <row r="31" spans="1:15" ht="14.25" x14ac:dyDescent="0.2">
      <c r="A31" s="117" t="s">
        <v>1</v>
      </c>
      <c r="B31" s="736" t="s">
        <v>207</v>
      </c>
      <c r="C31" s="737"/>
      <c r="D31" s="737"/>
      <c r="E31" s="737"/>
      <c r="F31" s="737"/>
      <c r="G31" s="737"/>
      <c r="H31" s="738"/>
      <c r="I31" s="69">
        <v>350</v>
      </c>
      <c r="J31" s="799"/>
      <c r="K31" s="800"/>
    </row>
    <row r="32" spans="1:15" x14ac:dyDescent="0.2">
      <c r="A32" s="801" t="s">
        <v>3</v>
      </c>
      <c r="B32" s="803" t="s">
        <v>126</v>
      </c>
      <c r="C32" s="731" t="s">
        <v>19</v>
      </c>
      <c r="D32" s="805"/>
      <c r="E32" s="806"/>
      <c r="F32" s="807" t="s">
        <v>24</v>
      </c>
      <c r="G32" s="805"/>
      <c r="H32" s="806"/>
      <c r="I32" s="81" t="s">
        <v>12</v>
      </c>
      <c r="J32" s="801" t="s">
        <v>3</v>
      </c>
      <c r="K32" s="117" t="s">
        <v>13</v>
      </c>
    </row>
    <row r="33" spans="1:11" x14ac:dyDescent="0.2">
      <c r="A33" s="802"/>
      <c r="B33" s="804"/>
      <c r="C33" s="5" t="s">
        <v>20</v>
      </c>
      <c r="D33" s="5" t="s">
        <v>21</v>
      </c>
      <c r="E33" s="5" t="s">
        <v>22</v>
      </c>
      <c r="F33" s="216" t="s">
        <v>9</v>
      </c>
      <c r="G33" s="515" t="s">
        <v>8</v>
      </c>
      <c r="H33" s="67" t="s">
        <v>23</v>
      </c>
      <c r="I33" s="67" t="s">
        <v>23</v>
      </c>
      <c r="J33" s="802"/>
      <c r="K33" s="117" t="s">
        <v>14</v>
      </c>
    </row>
    <row r="34" spans="1:11" x14ac:dyDescent="0.2">
      <c r="A34" s="676" t="s">
        <v>182</v>
      </c>
      <c r="B34" s="677">
        <v>45931</v>
      </c>
      <c r="C34" s="678">
        <v>710400</v>
      </c>
      <c r="D34" s="678">
        <v>1287600</v>
      </c>
      <c r="E34" s="678">
        <v>976800</v>
      </c>
      <c r="F34" s="496"/>
      <c r="G34" s="558"/>
      <c r="H34" s="638"/>
      <c r="I34" s="257"/>
      <c r="J34" s="122"/>
      <c r="K34" s="4"/>
    </row>
    <row r="35" spans="1:11" x14ac:dyDescent="0.2">
      <c r="A35" s="470">
        <v>46063</v>
      </c>
      <c r="B35" s="472">
        <v>24285</v>
      </c>
      <c r="C35" s="6">
        <v>0</v>
      </c>
      <c r="D35" s="6">
        <v>0</v>
      </c>
      <c r="E35" s="6">
        <v>30</v>
      </c>
      <c r="F35" s="14">
        <f t="shared" ref="F35:F40" si="2">C35*10+D35*10+E35*10</f>
        <v>300</v>
      </c>
      <c r="G35" s="8">
        <f>(C35*C$34+D35*D$34+E35*E$34)</f>
        <v>29304000</v>
      </c>
      <c r="H35" s="8">
        <f t="shared" ref="H35:H40" si="3">C35+D35+E35</f>
        <v>30</v>
      </c>
      <c r="I35" s="9">
        <f>I31-H35</f>
        <v>320</v>
      </c>
      <c r="J35" s="122">
        <f>'[1]Area 4'!$D$43</f>
        <v>0</v>
      </c>
      <c r="K35" s="15">
        <f t="shared" ref="K35:K40" si="4">J35-A35</f>
        <v>-46063</v>
      </c>
    </row>
    <row r="36" spans="1:11" x14ac:dyDescent="0.2">
      <c r="A36" s="470">
        <v>46076</v>
      </c>
      <c r="B36" s="472">
        <v>24289</v>
      </c>
      <c r="C36" s="6">
        <v>0</v>
      </c>
      <c r="D36" s="6">
        <v>19</v>
      </c>
      <c r="E36" s="6">
        <v>0</v>
      </c>
      <c r="F36" s="14">
        <f t="shared" si="2"/>
        <v>190</v>
      </c>
      <c r="G36" s="8">
        <f t="shared" ref="G36:G44" si="5">(C36*C$34+D36*D$34+E36*E$34)</f>
        <v>24464400</v>
      </c>
      <c r="H36" s="8">
        <f t="shared" si="3"/>
        <v>19</v>
      </c>
      <c r="I36" s="9">
        <f t="shared" ref="I36:I44" si="6">I35-H36</f>
        <v>301</v>
      </c>
      <c r="J36" s="122">
        <f>'[1]Area 4'!$D$45</f>
        <v>0</v>
      </c>
      <c r="K36" s="15">
        <f t="shared" si="4"/>
        <v>-46076</v>
      </c>
    </row>
    <row r="37" spans="1:11" x14ac:dyDescent="0.2">
      <c r="A37" s="431"/>
      <c r="B37" s="435"/>
      <c r="C37" s="6"/>
      <c r="D37" s="6"/>
      <c r="E37" s="6"/>
      <c r="F37" s="14">
        <f t="shared" si="2"/>
        <v>0</v>
      </c>
      <c r="G37" s="8">
        <f t="shared" si="5"/>
        <v>0</v>
      </c>
      <c r="H37" s="8">
        <f t="shared" si="3"/>
        <v>0</v>
      </c>
      <c r="I37" s="9">
        <f t="shared" si="6"/>
        <v>301</v>
      </c>
      <c r="J37" s="122"/>
      <c r="K37" s="15">
        <f t="shared" si="4"/>
        <v>0</v>
      </c>
    </row>
    <row r="38" spans="1:11" x14ac:dyDescent="0.2">
      <c r="A38" s="431"/>
      <c r="B38" s="435"/>
      <c r="C38" s="6"/>
      <c r="D38" s="6"/>
      <c r="E38" s="6"/>
      <c r="F38" s="14">
        <f t="shared" si="2"/>
        <v>0</v>
      </c>
      <c r="G38" s="8">
        <f t="shared" si="5"/>
        <v>0</v>
      </c>
      <c r="H38" s="8">
        <f t="shared" si="3"/>
        <v>0</v>
      </c>
      <c r="I38" s="9">
        <f t="shared" si="6"/>
        <v>301</v>
      </c>
      <c r="J38" s="122"/>
      <c r="K38" s="15">
        <f t="shared" si="4"/>
        <v>0</v>
      </c>
    </row>
    <row r="39" spans="1:11" x14ac:dyDescent="0.2">
      <c r="A39" s="431"/>
      <c r="B39" s="435"/>
      <c r="C39" s="6"/>
      <c r="D39" s="6"/>
      <c r="E39" s="6"/>
      <c r="F39" s="14">
        <f t="shared" si="2"/>
        <v>0</v>
      </c>
      <c r="G39" s="8">
        <f t="shared" si="5"/>
        <v>0</v>
      </c>
      <c r="H39" s="8">
        <f t="shared" si="3"/>
        <v>0</v>
      </c>
      <c r="I39" s="13">
        <f t="shared" si="6"/>
        <v>301</v>
      </c>
      <c r="J39" s="122"/>
      <c r="K39" s="15">
        <f t="shared" si="4"/>
        <v>0</v>
      </c>
    </row>
    <row r="40" spans="1:11" x14ac:dyDescent="0.2">
      <c r="A40" s="470"/>
      <c r="B40" s="472"/>
      <c r="C40" s="6"/>
      <c r="D40" s="6"/>
      <c r="E40" s="6"/>
      <c r="F40" s="14">
        <f t="shared" si="2"/>
        <v>0</v>
      </c>
      <c r="G40" s="8">
        <f t="shared" si="5"/>
        <v>0</v>
      </c>
      <c r="H40" s="8">
        <f t="shared" si="3"/>
        <v>0</v>
      </c>
      <c r="I40" s="13">
        <f t="shared" si="6"/>
        <v>301</v>
      </c>
      <c r="J40" s="122"/>
      <c r="K40" s="15">
        <f t="shared" si="4"/>
        <v>0</v>
      </c>
    </row>
    <row r="41" spans="1:11" x14ac:dyDescent="0.2">
      <c r="A41" s="470"/>
      <c r="B41" s="472"/>
      <c r="C41" s="283"/>
      <c r="D41" s="283"/>
      <c r="E41" s="283"/>
      <c r="F41" s="528">
        <f>C41*10+D41*10+E41*10</f>
        <v>0</v>
      </c>
      <c r="G41" s="8">
        <f t="shared" si="5"/>
        <v>0</v>
      </c>
      <c r="H41" s="284">
        <f>C41+D41+E41</f>
        <v>0</v>
      </c>
      <c r="I41" s="614">
        <f t="shared" si="6"/>
        <v>301</v>
      </c>
      <c r="J41" s="258"/>
      <c r="K41" s="110">
        <f>J41-A41</f>
        <v>0</v>
      </c>
    </row>
    <row r="42" spans="1:11" x14ac:dyDescent="0.2">
      <c r="A42" s="470"/>
      <c r="B42" s="472"/>
      <c r="C42" s="6"/>
      <c r="D42" s="6"/>
      <c r="E42" s="6"/>
      <c r="F42" s="14">
        <f>C42*10+D42*10+E42*10</f>
        <v>0</v>
      </c>
      <c r="G42" s="8">
        <f t="shared" si="5"/>
        <v>0</v>
      </c>
      <c r="H42" s="8">
        <f>C42+D42+E42</f>
        <v>0</v>
      </c>
      <c r="I42" s="13">
        <f t="shared" si="6"/>
        <v>301</v>
      </c>
      <c r="J42" s="122"/>
      <c r="K42" s="15">
        <f>J42-A42</f>
        <v>0</v>
      </c>
    </row>
    <row r="43" spans="1:11" x14ac:dyDescent="0.2">
      <c r="A43" s="470"/>
      <c r="B43" s="472"/>
      <c r="C43" s="6"/>
      <c r="D43" s="6"/>
      <c r="E43" s="6"/>
      <c r="F43" s="14">
        <f>C43*10+D43*10+E43*10</f>
        <v>0</v>
      </c>
      <c r="G43" s="8">
        <f t="shared" si="5"/>
        <v>0</v>
      </c>
      <c r="H43" s="8">
        <f>C43+D43+E43</f>
        <v>0</v>
      </c>
      <c r="I43" s="13">
        <f t="shared" si="6"/>
        <v>301</v>
      </c>
      <c r="J43" s="122"/>
      <c r="K43" s="15">
        <f>J43-A43</f>
        <v>0</v>
      </c>
    </row>
    <row r="44" spans="1:11" x14ac:dyDescent="0.2">
      <c r="A44" s="470"/>
      <c r="B44" s="472"/>
      <c r="C44" s="6"/>
      <c r="D44" s="6"/>
      <c r="E44" s="6"/>
      <c r="F44" s="14">
        <f>C44*10+D44*10+E44*10</f>
        <v>0</v>
      </c>
      <c r="G44" s="8">
        <f t="shared" si="5"/>
        <v>0</v>
      </c>
      <c r="H44" s="8">
        <f>C44+D44+E44</f>
        <v>0</v>
      </c>
      <c r="I44" s="13">
        <f t="shared" si="6"/>
        <v>301</v>
      </c>
      <c r="J44" s="122"/>
      <c r="K44" s="15">
        <f>J44-A44</f>
        <v>0</v>
      </c>
    </row>
    <row r="45" spans="1:11" x14ac:dyDescent="0.2">
      <c r="A45" s="731" t="s">
        <v>18</v>
      </c>
      <c r="B45" s="806"/>
      <c r="C45" s="272">
        <f t="shared" ref="C45:H45" si="7">SUM(C35:C44)</f>
        <v>0</v>
      </c>
      <c r="D45" s="272">
        <f t="shared" si="7"/>
        <v>19</v>
      </c>
      <c r="E45" s="273">
        <f t="shared" si="7"/>
        <v>30</v>
      </c>
      <c r="F45" s="524">
        <f t="shared" si="7"/>
        <v>490</v>
      </c>
      <c r="G45" s="79">
        <f t="shared" si="7"/>
        <v>53768400</v>
      </c>
      <c r="H45" s="48">
        <f t="shared" si="7"/>
        <v>49</v>
      </c>
      <c r="I45" s="523">
        <f>I31-H45</f>
        <v>301</v>
      </c>
      <c r="J45" s="121"/>
      <c r="K45" s="4"/>
    </row>
    <row r="46" spans="1:11" x14ac:dyDescent="0.2">
      <c r="A46" s="4"/>
      <c r="B46" s="121"/>
      <c r="C46" s="499"/>
      <c r="D46" s="499"/>
      <c r="E46" s="498"/>
      <c r="F46" s="498"/>
      <c r="G46" s="516" t="s">
        <v>46</v>
      </c>
      <c r="H46" s="500">
        <f>H45/I31%</f>
        <v>14</v>
      </c>
      <c r="I46" s="501">
        <f>I45/I31%</f>
        <v>86</v>
      </c>
      <c r="J46" s="121"/>
      <c r="K46" s="4"/>
    </row>
    <row r="47" spans="1:11" x14ac:dyDescent="0.2">
      <c r="A47" s="16"/>
      <c r="B47" s="125"/>
      <c r="C47" s="502"/>
      <c r="D47" s="502"/>
      <c r="E47" s="503"/>
      <c r="F47" s="503"/>
      <c r="G47" s="517"/>
      <c r="H47" s="507"/>
      <c r="I47" s="508"/>
      <c r="J47" s="125"/>
      <c r="K47" s="16"/>
    </row>
    <row r="48" spans="1:11" ht="15" x14ac:dyDescent="0.25">
      <c r="A48" s="117" t="s">
        <v>0</v>
      </c>
      <c r="B48" s="760" t="s">
        <v>25</v>
      </c>
      <c r="C48" s="761"/>
      <c r="D48" s="761"/>
      <c r="E48" s="761"/>
      <c r="F48" s="761"/>
      <c r="G48" s="761"/>
      <c r="H48" s="762"/>
      <c r="I48" s="70" t="s">
        <v>11</v>
      </c>
      <c r="J48" s="797" t="s">
        <v>15</v>
      </c>
      <c r="K48" s="798"/>
    </row>
    <row r="49" spans="1:11" ht="14.25" x14ac:dyDescent="0.2">
      <c r="A49" s="117" t="s">
        <v>1</v>
      </c>
      <c r="B49" s="736" t="s">
        <v>235</v>
      </c>
      <c r="C49" s="737"/>
      <c r="D49" s="737"/>
      <c r="E49" s="737"/>
      <c r="F49" s="737"/>
      <c r="G49" s="737"/>
      <c r="H49" s="738"/>
      <c r="I49" s="69">
        <v>50</v>
      </c>
      <c r="J49" s="799"/>
      <c r="K49" s="800"/>
    </row>
    <row r="50" spans="1:11" x14ac:dyDescent="0.2">
      <c r="A50" s="801" t="s">
        <v>3</v>
      </c>
      <c r="B50" s="803" t="s">
        <v>126</v>
      </c>
      <c r="C50" s="731" t="s">
        <v>19</v>
      </c>
      <c r="D50" s="805"/>
      <c r="E50" s="806"/>
      <c r="F50" s="807" t="s">
        <v>24</v>
      </c>
      <c r="G50" s="805"/>
      <c r="H50" s="806"/>
      <c r="I50" s="81" t="s">
        <v>12</v>
      </c>
      <c r="J50" s="801" t="s">
        <v>3</v>
      </c>
      <c r="K50" s="117" t="s">
        <v>13</v>
      </c>
    </row>
    <row r="51" spans="1:11" x14ac:dyDescent="0.2">
      <c r="A51" s="802"/>
      <c r="B51" s="804"/>
      <c r="C51" s="5" t="s">
        <v>20</v>
      </c>
      <c r="D51" s="5" t="s">
        <v>21</v>
      </c>
      <c r="E51" s="5" t="s">
        <v>22</v>
      </c>
      <c r="F51" s="216" t="s">
        <v>9</v>
      </c>
      <c r="G51" s="515" t="s">
        <v>8</v>
      </c>
      <c r="H51" s="67" t="s">
        <v>23</v>
      </c>
      <c r="I51" s="67" t="s">
        <v>23</v>
      </c>
      <c r="J51" s="802"/>
      <c r="K51" s="117" t="s">
        <v>14</v>
      </c>
    </row>
    <row r="52" spans="1:11" x14ac:dyDescent="0.2">
      <c r="A52" s="676" t="s">
        <v>182</v>
      </c>
      <c r="B52" s="677">
        <v>45931</v>
      </c>
      <c r="C52" s="678">
        <v>710400</v>
      </c>
      <c r="D52" s="678">
        <v>1287600</v>
      </c>
      <c r="E52" s="678">
        <v>976800</v>
      </c>
      <c r="F52" s="496"/>
      <c r="G52" s="6"/>
      <c r="H52" s="4"/>
      <c r="I52" s="12"/>
      <c r="J52" s="122"/>
      <c r="K52" s="4"/>
    </row>
    <row r="53" spans="1:11" x14ac:dyDescent="0.2">
      <c r="A53" s="431"/>
      <c r="B53" s="432"/>
      <c r="C53" s="6"/>
      <c r="D53" s="6"/>
      <c r="E53" s="6"/>
      <c r="F53" s="14">
        <f>C53*10+D53*10+E53*10</f>
        <v>0</v>
      </c>
      <c r="G53" s="8">
        <f>(C53*C$52+D53*D$52+E53*E$52)</f>
        <v>0</v>
      </c>
      <c r="H53" s="8">
        <f>C53+D53+E53</f>
        <v>0</v>
      </c>
      <c r="I53" s="9">
        <f>I49-H53</f>
        <v>50</v>
      </c>
      <c r="J53" s="122"/>
      <c r="K53" s="15">
        <f>J53-A53</f>
        <v>0</v>
      </c>
    </row>
    <row r="54" spans="1:11" x14ac:dyDescent="0.2">
      <c r="A54" s="431"/>
      <c r="B54" s="432"/>
      <c r="C54" s="6"/>
      <c r="D54" s="6"/>
      <c r="E54" s="6"/>
      <c r="F54" s="14">
        <f>C54*10+D54*10+E54*10</f>
        <v>0</v>
      </c>
      <c r="G54" s="8">
        <f>(C54*C$52+D54*D$52+E54*E$52)</f>
        <v>0</v>
      </c>
      <c r="H54" s="8">
        <f>C54+D54+E54</f>
        <v>0</v>
      </c>
      <c r="I54" s="9">
        <f>I53-H54</f>
        <v>50</v>
      </c>
      <c r="J54" s="122"/>
      <c r="K54" s="15">
        <f>J54-A54</f>
        <v>0</v>
      </c>
    </row>
    <row r="55" spans="1:11" x14ac:dyDescent="0.2">
      <c r="A55" s="431"/>
      <c r="B55" s="435"/>
      <c r="C55" s="6"/>
      <c r="D55" s="6"/>
      <c r="E55" s="6"/>
      <c r="F55" s="14">
        <f>C55*10+D55*10+E55*10</f>
        <v>0</v>
      </c>
      <c r="G55" s="8">
        <f>(C55*C$52+D55*D$52+E55*E$52)</f>
        <v>0</v>
      </c>
      <c r="H55" s="8">
        <f>C55+D55+E55</f>
        <v>0</v>
      </c>
      <c r="I55" s="9">
        <f>I54-H55</f>
        <v>50</v>
      </c>
      <c r="J55" s="122"/>
      <c r="K55" s="15">
        <f>J55-A55</f>
        <v>0</v>
      </c>
    </row>
    <row r="56" spans="1:11" x14ac:dyDescent="0.2">
      <c r="A56" s="731" t="s">
        <v>18</v>
      </c>
      <c r="B56" s="806"/>
      <c r="C56" s="272">
        <f t="shared" ref="C56:H56" si="8">SUM(C53:C55)</f>
        <v>0</v>
      </c>
      <c r="D56" s="272">
        <f t="shared" si="8"/>
        <v>0</v>
      </c>
      <c r="E56" s="273">
        <f t="shared" si="8"/>
        <v>0</v>
      </c>
      <c r="F56" s="524">
        <f t="shared" si="8"/>
        <v>0</v>
      </c>
      <c r="G56" s="79">
        <f t="shared" si="8"/>
        <v>0</v>
      </c>
      <c r="H56" s="48">
        <f t="shared" si="8"/>
        <v>0</v>
      </c>
      <c r="I56" s="49">
        <f>I49-H56</f>
        <v>50</v>
      </c>
      <c r="J56" s="121"/>
      <c r="K56" s="4"/>
    </row>
    <row r="57" spans="1:11" x14ac:dyDescent="0.2">
      <c r="A57" s="4"/>
      <c r="B57" s="121"/>
      <c r="C57" s="499"/>
      <c r="D57" s="499"/>
      <c r="E57" s="498"/>
      <c r="F57" s="498"/>
      <c r="G57" s="516" t="s">
        <v>46</v>
      </c>
      <c r="H57" s="509">
        <f>H56/I49%</f>
        <v>0</v>
      </c>
      <c r="I57" s="501">
        <f>I56/I49%</f>
        <v>100</v>
      </c>
      <c r="J57" s="121"/>
      <c r="K57" s="4"/>
    </row>
    <row r="58" spans="1:11" x14ac:dyDescent="0.2">
      <c r="A58" s="16"/>
      <c r="B58" s="125"/>
      <c r="C58" s="502"/>
      <c r="D58" s="502"/>
      <c r="E58" s="503"/>
      <c r="F58" s="503"/>
      <c r="G58" s="517"/>
      <c r="H58" s="571"/>
      <c r="I58" s="510"/>
      <c r="J58" s="125"/>
      <c r="K58" s="16"/>
    </row>
    <row r="59" spans="1:11" ht="15" x14ac:dyDescent="0.25">
      <c r="A59" s="117" t="s">
        <v>0</v>
      </c>
      <c r="B59" s="760" t="s">
        <v>25</v>
      </c>
      <c r="C59" s="761"/>
      <c r="D59" s="761"/>
      <c r="E59" s="761"/>
      <c r="F59" s="761"/>
      <c r="G59" s="761"/>
      <c r="H59" s="762"/>
      <c r="I59" s="70" t="s">
        <v>11</v>
      </c>
      <c r="J59" s="797" t="s">
        <v>15</v>
      </c>
      <c r="K59" s="798"/>
    </row>
    <row r="60" spans="1:11" ht="14.25" x14ac:dyDescent="0.2">
      <c r="A60" s="117" t="s">
        <v>1</v>
      </c>
      <c r="B60" s="736" t="s">
        <v>270</v>
      </c>
      <c r="C60" s="737"/>
      <c r="D60" s="737"/>
      <c r="E60" s="737"/>
      <c r="F60" s="737"/>
      <c r="G60" s="737"/>
      <c r="H60" s="738"/>
      <c r="I60" s="69">
        <v>50</v>
      </c>
      <c r="J60" s="799"/>
      <c r="K60" s="800"/>
    </row>
    <row r="61" spans="1:11" x14ac:dyDescent="0.2">
      <c r="A61" s="801" t="s">
        <v>3</v>
      </c>
      <c r="B61" s="803" t="s">
        <v>126</v>
      </c>
      <c r="C61" s="731" t="s">
        <v>19</v>
      </c>
      <c r="D61" s="805"/>
      <c r="E61" s="806"/>
      <c r="F61" s="807" t="s">
        <v>24</v>
      </c>
      <c r="G61" s="805"/>
      <c r="H61" s="806"/>
      <c r="I61" s="81" t="s">
        <v>12</v>
      </c>
      <c r="J61" s="801" t="s">
        <v>3</v>
      </c>
      <c r="K61" s="117" t="s">
        <v>13</v>
      </c>
    </row>
    <row r="62" spans="1:11" x14ac:dyDescent="0.2">
      <c r="A62" s="802"/>
      <c r="B62" s="804"/>
      <c r="C62" s="5" t="s">
        <v>20</v>
      </c>
      <c r="D62" s="5" t="s">
        <v>21</v>
      </c>
      <c r="E62" s="5" t="s">
        <v>22</v>
      </c>
      <c r="F62" s="216" t="s">
        <v>9</v>
      </c>
      <c r="G62" s="515" t="s">
        <v>8</v>
      </c>
      <c r="H62" s="67" t="s">
        <v>23</v>
      </c>
      <c r="I62" s="67" t="s">
        <v>23</v>
      </c>
      <c r="J62" s="802"/>
      <c r="K62" s="117" t="s">
        <v>14</v>
      </c>
    </row>
    <row r="63" spans="1:11" x14ac:dyDescent="0.2">
      <c r="A63" s="676" t="s">
        <v>182</v>
      </c>
      <c r="B63" s="677">
        <v>45931</v>
      </c>
      <c r="C63" s="678">
        <v>710400</v>
      </c>
      <c r="D63" s="678">
        <v>1287600</v>
      </c>
      <c r="E63" s="678">
        <v>976800</v>
      </c>
      <c r="F63" s="496"/>
      <c r="G63" s="679"/>
      <c r="H63" s="256"/>
      <c r="I63" s="257"/>
      <c r="J63" s="122"/>
      <c r="K63" s="4"/>
    </row>
    <row r="64" spans="1:11" x14ac:dyDescent="0.2">
      <c r="A64" s="431"/>
      <c r="B64" s="432"/>
      <c r="C64" s="6"/>
      <c r="D64" s="6"/>
      <c r="E64" s="6"/>
      <c r="F64" s="14">
        <f>C64*10+D64*10+E64*10</f>
        <v>0</v>
      </c>
      <c r="G64" s="8">
        <f>(C64*C$63+D64*D$63+E64*E$63)</f>
        <v>0</v>
      </c>
      <c r="H64" s="8">
        <f>C64+D64+E64</f>
        <v>0</v>
      </c>
      <c r="I64" s="9">
        <f>I60-H64</f>
        <v>50</v>
      </c>
      <c r="J64" s="122"/>
      <c r="K64" s="15">
        <f>J64-A64</f>
        <v>0</v>
      </c>
    </row>
    <row r="65" spans="1:16" x14ac:dyDescent="0.2">
      <c r="A65" s="431"/>
      <c r="B65" s="432"/>
      <c r="C65" s="6"/>
      <c r="D65" s="6"/>
      <c r="E65" s="6"/>
      <c r="F65" s="14">
        <f>C65*10+D65*10+E65*10</f>
        <v>0</v>
      </c>
      <c r="G65" s="8">
        <f>(C65*C$63+D65*D$63+E65*E$63)</f>
        <v>0</v>
      </c>
      <c r="H65" s="8">
        <f>C65+D65+E65</f>
        <v>0</v>
      </c>
      <c r="I65" s="9">
        <f>I64-H65</f>
        <v>50</v>
      </c>
      <c r="J65" s="122"/>
      <c r="K65" s="15">
        <f>J65-A65</f>
        <v>0</v>
      </c>
    </row>
    <row r="66" spans="1:16" x14ac:dyDescent="0.2">
      <c r="A66" s="431"/>
      <c r="B66" s="435"/>
      <c r="C66" s="6"/>
      <c r="D66" s="6"/>
      <c r="E66" s="6"/>
      <c r="F66" s="14">
        <f>C66*10+D66*10+E66*10</f>
        <v>0</v>
      </c>
      <c r="G66" s="8">
        <f>(C66*C$63+D66*D$63+E66*E$63)</f>
        <v>0</v>
      </c>
      <c r="H66" s="8">
        <f>C66+D66+E66</f>
        <v>0</v>
      </c>
      <c r="I66" s="9">
        <f>I65-H66</f>
        <v>50</v>
      </c>
      <c r="J66" s="122"/>
      <c r="K66" s="15">
        <f>J66-A66</f>
        <v>0</v>
      </c>
    </row>
    <row r="67" spans="1:16" x14ac:dyDescent="0.2">
      <c r="A67" s="731" t="s">
        <v>18</v>
      </c>
      <c r="B67" s="806"/>
      <c r="C67" s="272">
        <f t="shared" ref="C67:H67" si="9">SUM(C64:C66)</f>
        <v>0</v>
      </c>
      <c r="D67" s="272">
        <f t="shared" si="9"/>
        <v>0</v>
      </c>
      <c r="E67" s="273">
        <f t="shared" si="9"/>
        <v>0</v>
      </c>
      <c r="F67" s="524">
        <f t="shared" si="9"/>
        <v>0</v>
      </c>
      <c r="G67" s="79">
        <f t="shared" si="9"/>
        <v>0</v>
      </c>
      <c r="H67" s="48">
        <f t="shared" si="9"/>
        <v>0</v>
      </c>
      <c r="I67" s="49">
        <f>I60-H67</f>
        <v>50</v>
      </c>
      <c r="J67" s="121"/>
      <c r="K67" s="4"/>
    </row>
    <row r="68" spans="1:16" x14ac:dyDescent="0.2">
      <c r="A68" s="4"/>
      <c r="B68" s="121"/>
      <c r="C68" s="499"/>
      <c r="D68" s="499"/>
      <c r="E68" s="498"/>
      <c r="F68" s="498"/>
      <c r="G68" s="516" t="s">
        <v>46</v>
      </c>
      <c r="H68" s="509">
        <f>H67/I60%</f>
        <v>0</v>
      </c>
      <c r="I68" s="501">
        <f>I67/I60%</f>
        <v>100</v>
      </c>
      <c r="J68" s="121"/>
      <c r="K68" s="4"/>
    </row>
    <row r="69" spans="1:16" s="400" customFormat="1" x14ac:dyDescent="0.2">
      <c r="A69" s="481"/>
      <c r="B69" s="441"/>
      <c r="C69" s="605"/>
      <c r="D69" s="605"/>
      <c r="E69" s="606"/>
      <c r="F69" s="606"/>
      <c r="G69" s="517"/>
      <c r="H69" s="571"/>
      <c r="I69" s="510"/>
      <c r="J69" s="441"/>
      <c r="K69" s="481"/>
      <c r="L69" s="399"/>
      <c r="P69" s="495"/>
    </row>
    <row r="70" spans="1:16" s="400" customFormat="1" ht="15" x14ac:dyDescent="0.25">
      <c r="A70" s="117" t="s">
        <v>0</v>
      </c>
      <c r="B70" s="760" t="s">
        <v>25</v>
      </c>
      <c r="C70" s="761"/>
      <c r="D70" s="761"/>
      <c r="E70" s="761"/>
      <c r="F70" s="761"/>
      <c r="G70" s="761"/>
      <c r="H70" s="762"/>
      <c r="I70" s="70" t="s">
        <v>11</v>
      </c>
      <c r="J70" s="797" t="s">
        <v>15</v>
      </c>
      <c r="K70" s="798"/>
      <c r="L70" s="399"/>
      <c r="P70" s="495"/>
    </row>
    <row r="71" spans="1:16" s="400" customFormat="1" ht="14.25" x14ac:dyDescent="0.2">
      <c r="A71" s="117" t="s">
        <v>1</v>
      </c>
      <c r="B71" s="736" t="s">
        <v>271</v>
      </c>
      <c r="C71" s="737"/>
      <c r="D71" s="737"/>
      <c r="E71" s="737"/>
      <c r="F71" s="737"/>
      <c r="G71" s="737"/>
      <c r="H71" s="738"/>
      <c r="I71" s="69">
        <v>50</v>
      </c>
      <c r="J71" s="799"/>
      <c r="K71" s="800"/>
      <c r="L71" s="399"/>
      <c r="P71" s="495"/>
    </row>
    <row r="72" spans="1:16" s="400" customFormat="1" x14ac:dyDescent="0.2">
      <c r="A72" s="801" t="s">
        <v>3</v>
      </c>
      <c r="B72" s="803" t="s">
        <v>126</v>
      </c>
      <c r="C72" s="731" t="s">
        <v>19</v>
      </c>
      <c r="D72" s="805"/>
      <c r="E72" s="806"/>
      <c r="F72" s="807" t="s">
        <v>24</v>
      </c>
      <c r="G72" s="805"/>
      <c r="H72" s="806"/>
      <c r="I72" s="81" t="s">
        <v>12</v>
      </c>
      <c r="J72" s="801" t="s">
        <v>3</v>
      </c>
      <c r="K72" s="117" t="s">
        <v>13</v>
      </c>
      <c r="L72" s="399"/>
      <c r="P72" s="495"/>
    </row>
    <row r="73" spans="1:16" s="400" customFormat="1" x14ac:dyDescent="0.2">
      <c r="A73" s="802"/>
      <c r="B73" s="804"/>
      <c r="C73" s="5" t="s">
        <v>20</v>
      </c>
      <c r="D73" s="5" t="s">
        <v>21</v>
      </c>
      <c r="E73" s="5" t="s">
        <v>22</v>
      </c>
      <c r="F73" s="216" t="s">
        <v>9</v>
      </c>
      <c r="G73" s="515" t="s">
        <v>8</v>
      </c>
      <c r="H73" s="67" t="s">
        <v>23</v>
      </c>
      <c r="I73" s="67" t="s">
        <v>23</v>
      </c>
      <c r="J73" s="802"/>
      <c r="K73" s="117" t="s">
        <v>14</v>
      </c>
      <c r="L73" s="399"/>
      <c r="P73" s="495"/>
    </row>
    <row r="74" spans="1:16" x14ac:dyDescent="0.2">
      <c r="A74" s="676" t="s">
        <v>182</v>
      </c>
      <c r="B74" s="677">
        <v>45931</v>
      </c>
      <c r="C74" s="678">
        <v>710400</v>
      </c>
      <c r="D74" s="678">
        <v>1287600</v>
      </c>
      <c r="E74" s="678">
        <v>976800</v>
      </c>
      <c r="F74" s="496"/>
      <c r="G74" s="679"/>
      <c r="H74" s="256"/>
      <c r="I74" s="257"/>
      <c r="J74" s="122"/>
      <c r="K74" s="4"/>
    </row>
    <row r="75" spans="1:16" s="400" customFormat="1" x14ac:dyDescent="0.2">
      <c r="A75" s="431">
        <v>46051</v>
      </c>
      <c r="B75" s="112">
        <v>24330</v>
      </c>
      <c r="C75" s="6">
        <v>0</v>
      </c>
      <c r="D75" s="6">
        <v>0</v>
      </c>
      <c r="E75" s="6">
        <v>1</v>
      </c>
      <c r="F75" s="14">
        <f t="shared" ref="F75:F81" si="10">C75*10+D75*10+E75*10</f>
        <v>10</v>
      </c>
      <c r="G75" s="8">
        <f>(C75*C$74+D75*D$74+E75*E$74)</f>
        <v>976800</v>
      </c>
      <c r="H75" s="8">
        <f t="shared" ref="H75:H81" si="11">C75+D75+E75</f>
        <v>1</v>
      </c>
      <c r="I75" s="9">
        <f>I71-H75</f>
        <v>49</v>
      </c>
      <c r="J75" s="122">
        <f>'[1]Area I '!$D$48</f>
        <v>46078</v>
      </c>
      <c r="K75" s="15">
        <f t="shared" ref="K75:K81" si="12">J75-A75</f>
        <v>27</v>
      </c>
      <c r="L75" s="399"/>
      <c r="P75" s="495"/>
    </row>
    <row r="76" spans="1:16" s="400" customFormat="1" x14ac:dyDescent="0.2">
      <c r="A76" s="431">
        <v>46071</v>
      </c>
      <c r="B76" s="112">
        <v>24336</v>
      </c>
      <c r="C76" s="6">
        <v>0</v>
      </c>
      <c r="D76" s="6">
        <v>0</v>
      </c>
      <c r="E76" s="6">
        <v>2</v>
      </c>
      <c r="F76" s="14">
        <f t="shared" si="10"/>
        <v>20</v>
      </c>
      <c r="G76" s="8">
        <f t="shared" ref="G76:G81" si="13">(C76*C$74+D76*D$74+E76*E$74)</f>
        <v>1953600</v>
      </c>
      <c r="H76" s="8">
        <f t="shared" si="11"/>
        <v>2</v>
      </c>
      <c r="I76" s="9">
        <f t="shared" ref="I76:I81" si="14">I75-H76</f>
        <v>47</v>
      </c>
      <c r="J76" s="122">
        <f>'[1]Area I '!$D$49</f>
        <v>46094</v>
      </c>
      <c r="K76" s="15">
        <f t="shared" si="12"/>
        <v>23</v>
      </c>
      <c r="L76" s="399"/>
      <c r="P76" s="495"/>
    </row>
    <row r="77" spans="1:16" s="400" customFormat="1" x14ac:dyDescent="0.2">
      <c r="A77" s="431"/>
      <c r="B77" s="435"/>
      <c r="C77" s="6"/>
      <c r="D77" s="6"/>
      <c r="E77" s="6"/>
      <c r="F77" s="14">
        <f t="shared" si="10"/>
        <v>0</v>
      </c>
      <c r="G77" s="8">
        <f t="shared" si="13"/>
        <v>0</v>
      </c>
      <c r="H77" s="8">
        <f t="shared" si="11"/>
        <v>0</v>
      </c>
      <c r="I77" s="9">
        <f t="shared" si="14"/>
        <v>47</v>
      </c>
      <c r="J77" s="122"/>
      <c r="K77" s="15">
        <f t="shared" si="12"/>
        <v>0</v>
      </c>
      <c r="L77" s="399"/>
      <c r="P77" s="495"/>
    </row>
    <row r="78" spans="1:16" s="400" customFormat="1" x14ac:dyDescent="0.2">
      <c r="A78" s="431"/>
      <c r="B78" s="435"/>
      <c r="C78" s="6"/>
      <c r="D78" s="6"/>
      <c r="E78" s="6"/>
      <c r="F78" s="14">
        <f t="shared" si="10"/>
        <v>0</v>
      </c>
      <c r="G78" s="8">
        <f t="shared" si="13"/>
        <v>0</v>
      </c>
      <c r="H78" s="8">
        <f t="shared" si="11"/>
        <v>0</v>
      </c>
      <c r="I78" s="9">
        <f t="shared" si="14"/>
        <v>47</v>
      </c>
      <c r="J78" s="122"/>
      <c r="K78" s="15">
        <f t="shared" si="12"/>
        <v>0</v>
      </c>
      <c r="L78" s="399"/>
      <c r="P78" s="495"/>
    </row>
    <row r="79" spans="1:16" s="400" customFormat="1" x14ac:dyDescent="0.2">
      <c r="A79" s="431"/>
      <c r="B79" s="435"/>
      <c r="C79" s="6"/>
      <c r="D79" s="6"/>
      <c r="E79" s="6"/>
      <c r="F79" s="14">
        <f t="shared" si="10"/>
        <v>0</v>
      </c>
      <c r="G79" s="8">
        <f t="shared" si="13"/>
        <v>0</v>
      </c>
      <c r="H79" s="8">
        <f t="shared" si="11"/>
        <v>0</v>
      </c>
      <c r="I79" s="9">
        <f t="shared" si="14"/>
        <v>47</v>
      </c>
      <c r="J79" s="122"/>
      <c r="K79" s="15">
        <f t="shared" si="12"/>
        <v>0</v>
      </c>
      <c r="L79" s="399"/>
      <c r="P79" s="495"/>
    </row>
    <row r="80" spans="1:16" s="400" customFormat="1" x14ac:dyDescent="0.2">
      <c r="A80" s="431"/>
      <c r="B80" s="435"/>
      <c r="C80" s="6"/>
      <c r="D80" s="6"/>
      <c r="E80" s="6"/>
      <c r="F80" s="14">
        <f t="shared" si="10"/>
        <v>0</v>
      </c>
      <c r="G80" s="8">
        <f t="shared" si="13"/>
        <v>0</v>
      </c>
      <c r="H80" s="8">
        <f t="shared" si="11"/>
        <v>0</v>
      </c>
      <c r="I80" s="9">
        <f t="shared" si="14"/>
        <v>47</v>
      </c>
      <c r="J80" s="122"/>
      <c r="K80" s="15">
        <f t="shared" si="12"/>
        <v>0</v>
      </c>
      <c r="L80" s="399"/>
      <c r="P80" s="495"/>
    </row>
    <row r="81" spans="1:16" s="400" customFormat="1" x14ac:dyDescent="0.2">
      <c r="A81" s="431"/>
      <c r="B81" s="435"/>
      <c r="C81" s="6"/>
      <c r="D81" s="6"/>
      <c r="E81" s="6"/>
      <c r="F81" s="14">
        <f t="shared" si="10"/>
        <v>0</v>
      </c>
      <c r="G81" s="8">
        <f t="shared" si="13"/>
        <v>0</v>
      </c>
      <c r="H81" s="8">
        <f t="shared" si="11"/>
        <v>0</v>
      </c>
      <c r="I81" s="9">
        <f t="shared" si="14"/>
        <v>47</v>
      </c>
      <c r="J81" s="122"/>
      <c r="K81" s="15">
        <f t="shared" si="12"/>
        <v>0</v>
      </c>
      <c r="L81" s="399"/>
      <c r="P81" s="495"/>
    </row>
    <row r="82" spans="1:16" s="400" customFormat="1" x14ac:dyDescent="0.2">
      <c r="A82" s="731" t="s">
        <v>18</v>
      </c>
      <c r="B82" s="806"/>
      <c r="C82" s="272">
        <f t="shared" ref="C82:H82" si="15">SUM(C75:C81)</f>
        <v>0</v>
      </c>
      <c r="D82" s="272">
        <f t="shared" si="15"/>
        <v>0</v>
      </c>
      <c r="E82" s="273">
        <f t="shared" si="15"/>
        <v>3</v>
      </c>
      <c r="F82" s="524">
        <f t="shared" si="15"/>
        <v>30</v>
      </c>
      <c r="G82" s="79">
        <f t="shared" si="15"/>
        <v>2930400</v>
      </c>
      <c r="H82" s="48">
        <f t="shared" si="15"/>
        <v>3</v>
      </c>
      <c r="I82" s="49">
        <f>I71-H82</f>
        <v>47</v>
      </c>
      <c r="J82" s="121"/>
      <c r="K82" s="4"/>
      <c r="L82" s="399"/>
      <c r="P82" s="495"/>
    </row>
    <row r="83" spans="1:16" s="400" customFormat="1" x14ac:dyDescent="0.2">
      <c r="A83" s="4"/>
      <c r="B83" s="121"/>
      <c r="C83" s="499"/>
      <c r="D83" s="499"/>
      <c r="E83" s="498"/>
      <c r="F83" s="498"/>
      <c r="G83" s="516" t="s">
        <v>46</v>
      </c>
      <c r="H83" s="509">
        <f>H82/I71%</f>
        <v>6</v>
      </c>
      <c r="I83" s="501">
        <f>I82/I71%</f>
        <v>94</v>
      </c>
      <c r="J83" s="121"/>
      <c r="K83" s="4"/>
      <c r="L83" s="399"/>
      <c r="P83" s="495"/>
    </row>
    <row r="84" spans="1:16" s="400" customFormat="1" x14ac:dyDescent="0.2">
      <c r="A84" s="481"/>
      <c r="B84" s="441"/>
      <c r="C84" s="605"/>
      <c r="D84" s="605"/>
      <c r="E84" s="606"/>
      <c r="F84" s="606"/>
      <c r="G84" s="517"/>
      <c r="H84" s="571"/>
      <c r="I84" s="510"/>
      <c r="J84" s="441"/>
      <c r="K84" s="481"/>
      <c r="L84" s="399"/>
      <c r="P84" s="495"/>
    </row>
    <row r="85" spans="1:16" s="400" customFormat="1" x14ac:dyDescent="0.2">
      <c r="A85" s="481"/>
      <c r="B85" s="441"/>
      <c r="C85" s="605"/>
      <c r="D85" s="605"/>
      <c r="E85" s="606"/>
      <c r="F85" s="606"/>
      <c r="G85" s="517"/>
      <c r="H85" s="571"/>
      <c r="I85" s="510"/>
      <c r="J85" s="441"/>
      <c r="K85" s="481"/>
      <c r="L85" s="399"/>
      <c r="P85" s="495"/>
    </row>
    <row r="86" spans="1:16" s="400" customFormat="1" x14ac:dyDescent="0.2">
      <c r="A86" s="481"/>
      <c r="B86" s="441"/>
      <c r="C86" s="605"/>
      <c r="D86" s="605"/>
      <c r="E86" s="606"/>
      <c r="F86" s="606"/>
      <c r="G86" s="517"/>
      <c r="H86" s="571"/>
      <c r="I86" s="510"/>
      <c r="J86" s="441"/>
      <c r="K86" s="481"/>
      <c r="L86" s="399"/>
      <c r="P86" s="495"/>
    </row>
    <row r="87" spans="1:16" x14ac:dyDescent="0.2">
      <c r="A87" s="815" t="s">
        <v>197</v>
      </c>
      <c r="B87" s="815"/>
      <c r="C87" s="815"/>
      <c r="D87" s="815"/>
      <c r="E87" s="815"/>
      <c r="F87" s="494"/>
      <c r="G87" s="518">
        <f>I71+I60+I49+I31+I17+I4</f>
        <v>710</v>
      </c>
      <c r="H87" s="507"/>
      <c r="I87" s="510"/>
      <c r="J87" s="125"/>
      <c r="K87" s="16"/>
    </row>
    <row r="88" spans="1:16" x14ac:dyDescent="0.2">
      <c r="H88" s="507"/>
      <c r="I88" s="510"/>
      <c r="J88" s="125"/>
      <c r="K88" s="16"/>
    </row>
    <row r="89" spans="1:16" x14ac:dyDescent="0.2">
      <c r="A89" s="813" t="s">
        <v>125</v>
      </c>
      <c r="B89" s="813"/>
      <c r="C89" s="813"/>
      <c r="D89" s="813"/>
      <c r="E89" s="813"/>
      <c r="F89" s="814">
        <f>H82+H67+H56+H45+H26+H13</f>
        <v>52</v>
      </c>
      <c r="G89" s="814"/>
      <c r="H89" s="507"/>
      <c r="I89" s="510"/>
      <c r="J89" s="125"/>
      <c r="K89" s="16"/>
    </row>
    <row r="90" spans="1:16" s="400" customFormat="1" x14ac:dyDescent="0.2">
      <c r="A90" s="399"/>
      <c r="B90" s="399"/>
      <c r="C90" s="399"/>
      <c r="D90" s="399"/>
      <c r="E90" s="399"/>
      <c r="F90" s="480"/>
      <c r="G90" s="520"/>
      <c r="H90" s="507"/>
      <c r="I90" s="510"/>
      <c r="J90" s="441"/>
      <c r="K90" s="481"/>
      <c r="L90" s="399"/>
      <c r="P90" s="495"/>
    </row>
    <row r="91" spans="1:16" x14ac:dyDescent="0.2">
      <c r="A91" s="812" t="s">
        <v>111</v>
      </c>
      <c r="B91" s="812"/>
      <c r="C91" s="812"/>
      <c r="D91" s="812"/>
      <c r="E91" s="493"/>
      <c r="G91" s="521">
        <f>G87-F89</f>
        <v>658</v>
      </c>
    </row>
    <row r="93" spans="1:16" x14ac:dyDescent="0.2">
      <c r="A93" s="810" t="s">
        <v>48</v>
      </c>
      <c r="B93" s="810"/>
      <c r="C93" s="810"/>
      <c r="D93" s="810"/>
      <c r="E93" s="492"/>
      <c r="G93" s="522">
        <f>F89/G87%</f>
        <v>7.323943661971831</v>
      </c>
    </row>
    <row r="95" spans="1:16" x14ac:dyDescent="0.2">
      <c r="A95" s="810" t="s">
        <v>49</v>
      </c>
      <c r="B95" s="810"/>
      <c r="C95" s="810"/>
      <c r="D95" s="810"/>
      <c r="E95" s="492"/>
      <c r="G95" s="522">
        <f>100-G93</f>
        <v>92.676056338028175</v>
      </c>
    </row>
    <row r="97" spans="1:7" x14ac:dyDescent="0.2">
      <c r="A97" s="811" t="s">
        <v>112</v>
      </c>
      <c r="B97" s="811"/>
      <c r="C97" s="811"/>
      <c r="D97" s="811"/>
      <c r="E97" s="511"/>
      <c r="G97" s="521">
        <f>F82+F56+F45+F13</f>
        <v>520</v>
      </c>
    </row>
    <row r="99" spans="1:7" x14ac:dyDescent="0.2">
      <c r="A99" s="808" t="s">
        <v>117</v>
      </c>
      <c r="B99" s="808"/>
      <c r="C99" s="808"/>
      <c r="D99" s="808"/>
      <c r="E99" s="808"/>
      <c r="F99" s="809">
        <f>G82+G67+G56+G45+G26+G13</f>
        <v>56698800</v>
      </c>
      <c r="G99" s="809"/>
    </row>
  </sheetData>
  <mergeCells count="65">
    <mergeCell ref="A50:A51"/>
    <mergeCell ref="B50:B51"/>
    <mergeCell ref="J59:K60"/>
    <mergeCell ref="B60:H60"/>
    <mergeCell ref="B32:B33"/>
    <mergeCell ref="C32:E32"/>
    <mergeCell ref="F32:H32"/>
    <mergeCell ref="J32:J33"/>
    <mergeCell ref="J50:J51"/>
    <mergeCell ref="B30:H30"/>
    <mergeCell ref="J61:J62"/>
    <mergeCell ref="J48:K49"/>
    <mergeCell ref="B49:H49"/>
    <mergeCell ref="A1:K1"/>
    <mergeCell ref="A2:K2"/>
    <mergeCell ref="J3:K4"/>
    <mergeCell ref="J5:J6"/>
    <mergeCell ref="F5:H5"/>
    <mergeCell ref="C5:E5"/>
    <mergeCell ref="A5:A6"/>
    <mergeCell ref="B3:H3"/>
    <mergeCell ref="B5:B6"/>
    <mergeCell ref="A13:B13"/>
    <mergeCell ref="B4:H4"/>
    <mergeCell ref="F50:H50"/>
    <mergeCell ref="B48:H48"/>
    <mergeCell ref="A45:B45"/>
    <mergeCell ref="F18:H18"/>
    <mergeCell ref="C18:E18"/>
    <mergeCell ref="J30:K31"/>
    <mergeCell ref="B31:H31"/>
    <mergeCell ref="A32:A33"/>
    <mergeCell ref="A93:D93"/>
    <mergeCell ref="A89:E89"/>
    <mergeCell ref="F89:G89"/>
    <mergeCell ref="A87:E87"/>
    <mergeCell ref="A67:B67"/>
    <mergeCell ref="A61:A62"/>
    <mergeCell ref="B61:B62"/>
    <mergeCell ref="C61:E61"/>
    <mergeCell ref="F61:H61"/>
    <mergeCell ref="B70:H70"/>
    <mergeCell ref="A99:E99"/>
    <mergeCell ref="F99:G99"/>
    <mergeCell ref="A95:D95"/>
    <mergeCell ref="A97:D97"/>
    <mergeCell ref="A91:D91"/>
    <mergeCell ref="A82:B82"/>
    <mergeCell ref="J18:J19"/>
    <mergeCell ref="C50:E50"/>
    <mergeCell ref="A26:B26"/>
    <mergeCell ref="A56:B56"/>
    <mergeCell ref="B59:H59"/>
    <mergeCell ref="B16:H16"/>
    <mergeCell ref="J16:K17"/>
    <mergeCell ref="B17:H17"/>
    <mergeCell ref="A18:A19"/>
    <mergeCell ref="B18:B19"/>
    <mergeCell ref="J70:K71"/>
    <mergeCell ref="B71:H71"/>
    <mergeCell ref="A72:A73"/>
    <mergeCell ref="B72:B73"/>
    <mergeCell ref="C72:E72"/>
    <mergeCell ref="F72:H72"/>
    <mergeCell ref="J72:J73"/>
  </mergeCells>
  <phoneticPr fontId="0" type="noConversion"/>
  <pageMargins left="0.19685039370078741" right="0" top="0.39370078740157483" bottom="0.19685039370078741" header="0.31496062992125984" footer="0.31496062992125984"/>
  <pageSetup paperSize="5" orientation="portrait" verticalDpi="18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A1E5C-8100-4609-A6B3-F4D725DB3779}">
  <dimension ref="A1:N55"/>
  <sheetViews>
    <sheetView workbookViewId="0">
      <selection activeCell="I5" sqref="I5"/>
    </sheetView>
  </sheetViews>
  <sheetFormatPr defaultRowHeight="12.75" x14ac:dyDescent="0.2"/>
  <cols>
    <col min="1" max="1" width="8.85546875" customWidth="1"/>
    <col min="2" max="2" width="7.85546875" style="123" customWidth="1"/>
    <col min="3" max="4" width="10.5703125" customWidth="1"/>
    <col min="5" max="5" width="10.7109375" customWidth="1"/>
    <col min="7" max="7" width="13" customWidth="1"/>
    <col min="8" max="8" width="8" customWidth="1"/>
    <col min="9" max="9" width="8.28515625" customWidth="1"/>
    <col min="10" max="10" width="10" style="123" customWidth="1"/>
    <col min="11" max="11" width="6.85546875" customWidth="1"/>
    <col min="12" max="12" width="13.5703125" style="282" customWidth="1"/>
  </cols>
  <sheetData>
    <row r="1" spans="1:13" ht="18" x14ac:dyDescent="0.2">
      <c r="A1" s="816" t="s">
        <v>232</v>
      </c>
      <c r="B1" s="816"/>
      <c r="C1" s="816"/>
      <c r="D1" s="816"/>
      <c r="E1" s="816"/>
      <c r="F1" s="816"/>
      <c r="G1" s="816"/>
      <c r="H1" s="816"/>
      <c r="I1" s="816"/>
      <c r="J1" s="816"/>
      <c r="K1" s="816"/>
      <c r="L1" s="816"/>
    </row>
    <row r="2" spans="1:13" ht="26.25" x14ac:dyDescent="0.2">
      <c r="A2" s="828" t="str">
        <f>GDSL!A2</f>
        <v>TAHUN 2026</v>
      </c>
      <c r="B2" s="828"/>
      <c r="C2" s="828"/>
      <c r="D2" s="828"/>
      <c r="E2" s="828"/>
      <c r="F2" s="828"/>
      <c r="G2" s="828"/>
      <c r="H2" s="828"/>
      <c r="I2" s="828"/>
      <c r="J2" s="828"/>
      <c r="K2" s="828"/>
      <c r="L2" s="71"/>
    </row>
    <row r="3" spans="1:13" ht="15" x14ac:dyDescent="0.25">
      <c r="A3" s="93" t="s">
        <v>0</v>
      </c>
      <c r="B3" s="760" t="s">
        <v>221</v>
      </c>
      <c r="C3" s="761"/>
      <c r="D3" s="761"/>
      <c r="E3" s="761"/>
      <c r="F3" s="761"/>
      <c r="G3" s="761"/>
      <c r="H3" s="762"/>
      <c r="I3" s="70" t="s">
        <v>11</v>
      </c>
      <c r="J3" s="797" t="s">
        <v>15</v>
      </c>
      <c r="K3" s="798"/>
      <c r="L3" s="707">
        <v>46077</v>
      </c>
    </row>
    <row r="4" spans="1:13" ht="14.25" x14ac:dyDescent="0.2">
      <c r="A4" s="94" t="s">
        <v>1</v>
      </c>
      <c r="B4" s="817" t="s">
        <v>222</v>
      </c>
      <c r="C4" s="818"/>
      <c r="D4" s="818"/>
      <c r="E4" s="818"/>
      <c r="F4" s="818"/>
      <c r="G4" s="818"/>
      <c r="H4" s="819"/>
      <c r="I4" s="69">
        <v>300</v>
      </c>
      <c r="J4" s="799"/>
      <c r="K4" s="800"/>
      <c r="M4" s="71"/>
    </row>
    <row r="5" spans="1:13" x14ac:dyDescent="0.2">
      <c r="A5" s="801" t="s">
        <v>3</v>
      </c>
      <c r="B5" s="820" t="s">
        <v>2</v>
      </c>
      <c r="C5" s="822" t="s">
        <v>19</v>
      </c>
      <c r="D5" s="823"/>
      <c r="E5" s="824"/>
      <c r="F5" s="825" t="s">
        <v>31</v>
      </c>
      <c r="G5" s="826"/>
      <c r="H5" s="827"/>
      <c r="I5" s="84" t="s">
        <v>12</v>
      </c>
      <c r="J5" s="801" t="s">
        <v>3</v>
      </c>
      <c r="K5" s="4" t="s">
        <v>13</v>
      </c>
    </row>
    <row r="6" spans="1:13" x14ac:dyDescent="0.2">
      <c r="A6" s="802"/>
      <c r="B6" s="821"/>
      <c r="C6" s="4" t="s">
        <v>30</v>
      </c>
      <c r="D6" s="4" t="s">
        <v>28</v>
      </c>
      <c r="E6" s="561" t="s">
        <v>132</v>
      </c>
      <c r="F6" s="4" t="s">
        <v>29</v>
      </c>
      <c r="G6" s="80" t="s">
        <v>32</v>
      </c>
      <c r="H6" s="67" t="s">
        <v>33</v>
      </c>
      <c r="I6" s="67" t="s">
        <v>33</v>
      </c>
      <c r="J6" s="802"/>
      <c r="K6" s="4" t="s">
        <v>14</v>
      </c>
    </row>
    <row r="7" spans="1:13" x14ac:dyDescent="0.2">
      <c r="A7" s="676" t="s">
        <v>182</v>
      </c>
      <c r="B7" s="677">
        <v>45550</v>
      </c>
      <c r="C7" s="680">
        <v>1368630</v>
      </c>
      <c r="D7" s="680">
        <v>1601730</v>
      </c>
      <c r="E7" s="562"/>
      <c r="F7" s="565">
        <v>0.95</v>
      </c>
      <c r="G7" s="4"/>
      <c r="H7" s="4"/>
      <c r="I7" s="12"/>
      <c r="J7" s="122"/>
      <c r="K7" s="4"/>
    </row>
    <row r="8" spans="1:13" x14ac:dyDescent="0.2">
      <c r="A8" s="431"/>
      <c r="B8" s="433"/>
      <c r="C8" s="283"/>
      <c r="D8" s="283"/>
      <c r="E8" s="283"/>
      <c r="F8" s="526">
        <f>C8*20+D8*20+E8*20</f>
        <v>0</v>
      </c>
      <c r="G8" s="284">
        <f>(C8*C$7+D8*D$7)*F$7</f>
        <v>0</v>
      </c>
      <c r="H8" s="284">
        <f>C8+D8+E8</f>
        <v>0</v>
      </c>
      <c r="I8" s="349">
        <f>I4-H8</f>
        <v>300</v>
      </c>
      <c r="J8" s="258"/>
      <c r="K8" s="110">
        <f>J8-A8</f>
        <v>0</v>
      </c>
    </row>
    <row r="9" spans="1:13" x14ac:dyDescent="0.2">
      <c r="A9" s="431"/>
      <c r="B9" s="435"/>
      <c r="C9" s="283"/>
      <c r="D9" s="283"/>
      <c r="E9" s="283"/>
      <c r="F9" s="526">
        <f>C9*20+D9*20+E9*20</f>
        <v>0</v>
      </c>
      <c r="G9" s="284">
        <f t="shared" ref="G9:G18" si="0">(C9*C$7+D9*D$7)*F$7</f>
        <v>0</v>
      </c>
      <c r="H9" s="284">
        <f>C9+D9+E9</f>
        <v>0</v>
      </c>
      <c r="I9" s="349">
        <f>I8-H9</f>
        <v>300</v>
      </c>
      <c r="J9" s="258"/>
      <c r="K9" s="110">
        <f>J9-A9</f>
        <v>0</v>
      </c>
    </row>
    <row r="10" spans="1:13" x14ac:dyDescent="0.2">
      <c r="A10" s="431"/>
      <c r="B10" s="432"/>
      <c r="C10" s="283"/>
      <c r="D10" s="283"/>
      <c r="E10" s="283"/>
      <c r="F10" s="655">
        <f>C10*20+D10*20+E10*20</f>
        <v>0</v>
      </c>
      <c r="G10" s="284">
        <f t="shared" si="0"/>
        <v>0</v>
      </c>
      <c r="H10" s="284">
        <f>C10+D10+E10</f>
        <v>0</v>
      </c>
      <c r="I10" s="349">
        <f t="shared" ref="I10:I18" si="1">I9-H10</f>
        <v>300</v>
      </c>
      <c r="J10" s="258"/>
      <c r="K10" s="110">
        <f>J10-A10</f>
        <v>0</v>
      </c>
    </row>
    <row r="11" spans="1:13" x14ac:dyDescent="0.2">
      <c r="A11" s="431"/>
      <c r="B11" s="433"/>
      <c r="C11" s="283"/>
      <c r="D11" s="283"/>
      <c r="E11" s="283"/>
      <c r="F11" s="526">
        <f>C11*20+D11*20+E11*20</f>
        <v>0</v>
      </c>
      <c r="G11" s="284">
        <f t="shared" si="0"/>
        <v>0</v>
      </c>
      <c r="H11" s="284">
        <f>C11+D11+E11</f>
        <v>0</v>
      </c>
      <c r="I11" s="349">
        <f t="shared" si="1"/>
        <v>300</v>
      </c>
      <c r="J11" s="258"/>
      <c r="K11" s="110">
        <f>J11-A11</f>
        <v>0</v>
      </c>
    </row>
    <row r="12" spans="1:13" x14ac:dyDescent="0.2">
      <c r="A12" s="431"/>
      <c r="B12" s="433"/>
      <c r="C12" s="283"/>
      <c r="D12" s="283"/>
      <c r="E12" s="283"/>
      <c r="F12" s="526">
        <f>C12*20+D12*20+E12*20</f>
        <v>0</v>
      </c>
      <c r="G12" s="284">
        <f t="shared" si="0"/>
        <v>0</v>
      </c>
      <c r="H12" s="284">
        <f>C12+D12+E12</f>
        <v>0</v>
      </c>
      <c r="I12" s="349">
        <f t="shared" si="1"/>
        <v>300</v>
      </c>
      <c r="J12" s="258"/>
      <c r="K12" s="541">
        <f>J12-A12</f>
        <v>0</v>
      </c>
    </row>
    <row r="13" spans="1:13" x14ac:dyDescent="0.2">
      <c r="A13" s="431"/>
      <c r="B13" s="433"/>
      <c r="C13" s="283"/>
      <c r="D13" s="283"/>
      <c r="E13" s="283"/>
      <c r="F13" s="526">
        <f t="shared" ref="F13:F18" si="2">C13*20+D13*20+E13*20</f>
        <v>0</v>
      </c>
      <c r="G13" s="284">
        <f t="shared" si="0"/>
        <v>0</v>
      </c>
      <c r="H13" s="284">
        <f t="shared" ref="H13:H18" si="3">C13+D13+E13</f>
        <v>0</v>
      </c>
      <c r="I13" s="349">
        <f t="shared" si="1"/>
        <v>300</v>
      </c>
      <c r="J13" s="258"/>
      <c r="K13" s="110">
        <f t="shared" ref="K13:K18" si="4">J13-A13</f>
        <v>0</v>
      </c>
    </row>
    <row r="14" spans="1:13" x14ac:dyDescent="0.2">
      <c r="A14" s="431"/>
      <c r="B14" s="437"/>
      <c r="C14" s="283"/>
      <c r="D14" s="283"/>
      <c r="E14" s="283"/>
      <c r="F14" s="526">
        <f t="shared" si="2"/>
        <v>0</v>
      </c>
      <c r="G14" s="284">
        <f t="shared" si="0"/>
        <v>0</v>
      </c>
      <c r="H14" s="284">
        <f t="shared" si="3"/>
        <v>0</v>
      </c>
      <c r="I14" s="349">
        <f t="shared" si="1"/>
        <v>300</v>
      </c>
      <c r="J14" s="258"/>
      <c r="K14" s="110">
        <f t="shared" si="4"/>
        <v>0</v>
      </c>
    </row>
    <row r="15" spans="1:13" x14ac:dyDescent="0.2">
      <c r="A15" s="431"/>
      <c r="B15" s="437"/>
      <c r="C15" s="283"/>
      <c r="D15" s="283"/>
      <c r="E15" s="283"/>
      <c r="F15" s="526">
        <f t="shared" si="2"/>
        <v>0</v>
      </c>
      <c r="G15" s="284">
        <f t="shared" si="0"/>
        <v>0</v>
      </c>
      <c r="H15" s="284">
        <f t="shared" si="3"/>
        <v>0</v>
      </c>
      <c r="I15" s="349">
        <f t="shared" si="1"/>
        <v>300</v>
      </c>
      <c r="J15" s="258"/>
      <c r="K15" s="110">
        <f t="shared" si="4"/>
        <v>0</v>
      </c>
    </row>
    <row r="16" spans="1:13" x14ac:dyDescent="0.2">
      <c r="A16" s="431"/>
      <c r="B16" s="437"/>
      <c r="C16" s="283"/>
      <c r="D16" s="283"/>
      <c r="E16" s="283"/>
      <c r="F16" s="526">
        <f t="shared" si="2"/>
        <v>0</v>
      </c>
      <c r="G16" s="284">
        <f t="shared" si="0"/>
        <v>0</v>
      </c>
      <c r="H16" s="284">
        <f t="shared" si="3"/>
        <v>0</v>
      </c>
      <c r="I16" s="349">
        <f t="shared" si="1"/>
        <v>300</v>
      </c>
      <c r="J16" s="258"/>
      <c r="K16" s="110">
        <f t="shared" si="4"/>
        <v>0</v>
      </c>
    </row>
    <row r="17" spans="1:13" x14ac:dyDescent="0.2">
      <c r="A17" s="431"/>
      <c r="B17" s="437"/>
      <c r="C17" s="283"/>
      <c r="D17" s="283"/>
      <c r="E17" s="283"/>
      <c r="F17" s="526">
        <f t="shared" si="2"/>
        <v>0</v>
      </c>
      <c r="G17" s="284">
        <f t="shared" si="0"/>
        <v>0</v>
      </c>
      <c r="H17" s="284">
        <f t="shared" si="3"/>
        <v>0</v>
      </c>
      <c r="I17" s="349">
        <f t="shared" si="1"/>
        <v>300</v>
      </c>
      <c r="J17" s="258"/>
      <c r="K17" s="110">
        <f t="shared" si="4"/>
        <v>0</v>
      </c>
    </row>
    <row r="18" spans="1:13" x14ac:dyDescent="0.2">
      <c r="A18" s="431"/>
      <c r="B18" s="437"/>
      <c r="C18" s="283"/>
      <c r="D18" s="283"/>
      <c r="E18" s="283"/>
      <c r="F18" s="526">
        <f t="shared" si="2"/>
        <v>0</v>
      </c>
      <c r="G18" s="284">
        <f t="shared" si="0"/>
        <v>0</v>
      </c>
      <c r="H18" s="284">
        <f t="shared" si="3"/>
        <v>0</v>
      </c>
      <c r="I18" s="349">
        <f t="shared" si="1"/>
        <v>300</v>
      </c>
      <c r="J18" s="258"/>
      <c r="K18" s="110">
        <f t="shared" si="4"/>
        <v>0</v>
      </c>
    </row>
    <row r="19" spans="1:13" x14ac:dyDescent="0.2">
      <c r="A19" s="731" t="s">
        <v>18</v>
      </c>
      <c r="B19" s="732"/>
      <c r="C19" s="7">
        <f t="shared" ref="C19:H19" si="5">SUM(C8:C18)</f>
        <v>0</v>
      </c>
      <c r="D19" s="7">
        <f t="shared" si="5"/>
        <v>0</v>
      </c>
      <c r="E19" s="7">
        <f t="shared" si="5"/>
        <v>0</v>
      </c>
      <c r="F19" s="527">
        <f t="shared" si="5"/>
        <v>0</v>
      </c>
      <c r="G19" s="79">
        <f t="shared" si="5"/>
        <v>0</v>
      </c>
      <c r="H19" s="48">
        <f t="shared" si="5"/>
        <v>0</v>
      </c>
      <c r="I19" s="49">
        <f>I4-H19</f>
        <v>300</v>
      </c>
      <c r="J19" s="121"/>
      <c r="K19" s="15">
        <f>J19-B19</f>
        <v>0</v>
      </c>
    </row>
    <row r="20" spans="1:13" x14ac:dyDescent="0.2">
      <c r="A20" s="4"/>
      <c r="B20" s="121"/>
      <c r="C20" s="7"/>
      <c r="D20" s="7"/>
      <c r="E20" s="7"/>
      <c r="F20" s="8"/>
      <c r="G20" s="57" t="s">
        <v>46</v>
      </c>
      <c r="H20" s="64">
        <f>H19/I4%</f>
        <v>0</v>
      </c>
      <c r="I20" s="53">
        <f>I19/I4%</f>
        <v>100</v>
      </c>
      <c r="J20" s="121"/>
      <c r="K20" s="22"/>
    </row>
    <row r="21" spans="1:13" x14ac:dyDescent="0.2">
      <c r="A21" s="16"/>
      <c r="B21" s="125"/>
      <c r="C21" s="17"/>
      <c r="D21" s="17"/>
      <c r="E21" s="17"/>
      <c r="F21" s="18"/>
      <c r="G21" s="18"/>
      <c r="H21" s="18"/>
      <c r="I21" s="19"/>
      <c r="J21" s="125"/>
      <c r="K21" s="30"/>
    </row>
    <row r="22" spans="1:13" x14ac:dyDescent="0.2">
      <c r="A22" s="16"/>
      <c r="B22" s="125"/>
      <c r="C22" s="17"/>
      <c r="D22" s="17"/>
      <c r="E22" s="17"/>
      <c r="F22" s="18"/>
      <c r="G22" s="18"/>
      <c r="H22" s="18"/>
      <c r="I22" s="19"/>
      <c r="J22" s="125"/>
      <c r="K22" s="30"/>
    </row>
    <row r="23" spans="1:13" ht="15" x14ac:dyDescent="0.25">
      <c r="A23" s="93" t="s">
        <v>0</v>
      </c>
      <c r="B23" s="760" t="s">
        <v>221</v>
      </c>
      <c r="C23" s="761"/>
      <c r="D23" s="761"/>
      <c r="E23" s="761"/>
      <c r="F23" s="761"/>
      <c r="G23" s="761"/>
      <c r="H23" s="762"/>
      <c r="I23" s="70" t="s">
        <v>11</v>
      </c>
      <c r="J23" s="797" t="s">
        <v>15</v>
      </c>
      <c r="K23" s="798"/>
      <c r="L23" s="705">
        <v>46062</v>
      </c>
    </row>
    <row r="24" spans="1:13" ht="14.25" x14ac:dyDescent="0.2">
      <c r="A24" s="94" t="s">
        <v>1</v>
      </c>
      <c r="B24" s="817" t="s">
        <v>207</v>
      </c>
      <c r="C24" s="818"/>
      <c r="D24" s="818"/>
      <c r="E24" s="818"/>
      <c r="F24" s="818"/>
      <c r="G24" s="818"/>
      <c r="H24" s="819"/>
      <c r="I24" s="69">
        <v>500</v>
      </c>
      <c r="J24" s="799"/>
      <c r="K24" s="800"/>
    </row>
    <row r="25" spans="1:13" x14ac:dyDescent="0.2">
      <c r="A25" s="801" t="s">
        <v>3</v>
      </c>
      <c r="B25" s="820" t="s">
        <v>2</v>
      </c>
      <c r="C25" s="822" t="s">
        <v>19</v>
      </c>
      <c r="D25" s="823"/>
      <c r="E25" s="824"/>
      <c r="F25" s="825" t="s">
        <v>31</v>
      </c>
      <c r="G25" s="826"/>
      <c r="H25" s="827"/>
      <c r="I25" s="84" t="s">
        <v>12</v>
      </c>
      <c r="J25" s="801" t="s">
        <v>3</v>
      </c>
      <c r="K25" s="4" t="s">
        <v>13</v>
      </c>
    </row>
    <row r="26" spans="1:13" x14ac:dyDescent="0.2">
      <c r="A26" s="802"/>
      <c r="B26" s="821"/>
      <c r="C26" s="4" t="s">
        <v>30</v>
      </c>
      <c r="D26" s="4" t="s">
        <v>28</v>
      </c>
      <c r="E26" s="561" t="s">
        <v>132</v>
      </c>
      <c r="F26" s="4" t="s">
        <v>29</v>
      </c>
      <c r="G26" s="80" t="s">
        <v>32</v>
      </c>
      <c r="H26" s="67" t="s">
        <v>33</v>
      </c>
      <c r="I26" s="67" t="s">
        <v>33</v>
      </c>
      <c r="J26" s="802"/>
      <c r="K26" s="4" t="s">
        <v>14</v>
      </c>
    </row>
    <row r="27" spans="1:13" x14ac:dyDescent="0.2">
      <c r="A27" s="676" t="s">
        <v>182</v>
      </c>
      <c r="B27" s="677">
        <v>45550</v>
      </c>
      <c r="C27" s="680">
        <v>1368630</v>
      </c>
      <c r="D27" s="680">
        <v>1601730</v>
      </c>
      <c r="E27" s="562"/>
      <c r="F27" s="565">
        <v>0.95</v>
      </c>
      <c r="G27" s="4"/>
      <c r="H27" s="4"/>
      <c r="I27" s="12"/>
      <c r="J27" s="122"/>
      <c r="K27" s="4"/>
    </row>
    <row r="28" spans="1:13" x14ac:dyDescent="0.2">
      <c r="A28" s="431"/>
      <c r="B28" s="435"/>
      <c r="C28" s="283"/>
      <c r="D28" s="283"/>
      <c r="E28" s="464"/>
      <c r="F28" s="528">
        <f t="shared" ref="F28:F35" si="6">C28*20+D28*20+E28*20</f>
        <v>0</v>
      </c>
      <c r="G28" s="284">
        <f>(C28*C$27+D28*D$27+E28*E$27)*F$27</f>
        <v>0</v>
      </c>
      <c r="H28" s="284">
        <f t="shared" ref="H28:H35" si="7">C28+D28+E28</f>
        <v>0</v>
      </c>
      <c r="I28" s="349">
        <f>I24-H28</f>
        <v>500</v>
      </c>
      <c r="J28" s="258"/>
      <c r="K28" s="110">
        <f t="shared" ref="K28:K35" si="8">J28-A28</f>
        <v>0</v>
      </c>
    </row>
    <row r="29" spans="1:13" x14ac:dyDescent="0.2">
      <c r="A29" s="431"/>
      <c r="B29" s="112"/>
      <c r="C29" s="283"/>
      <c r="D29" s="283"/>
      <c r="E29" s="464"/>
      <c r="F29" s="528">
        <f t="shared" si="6"/>
        <v>0</v>
      </c>
      <c r="G29" s="284">
        <f t="shared" ref="G29:G35" si="9">(C29*C$27+D29*D$27+E29*E$27)*F$27</f>
        <v>0</v>
      </c>
      <c r="H29" s="284">
        <f t="shared" si="7"/>
        <v>0</v>
      </c>
      <c r="I29" s="349">
        <f t="shared" ref="I29:I35" si="10">I28-H29</f>
        <v>500</v>
      </c>
      <c r="J29" s="258"/>
      <c r="K29" s="110">
        <f t="shared" si="8"/>
        <v>0</v>
      </c>
    </row>
    <row r="30" spans="1:13" x14ac:dyDescent="0.2">
      <c r="A30" s="431"/>
      <c r="B30" s="435"/>
      <c r="C30" s="283"/>
      <c r="D30" s="283"/>
      <c r="E30" s="464"/>
      <c r="F30" s="528">
        <f t="shared" si="6"/>
        <v>0</v>
      </c>
      <c r="G30" s="284">
        <f t="shared" si="9"/>
        <v>0</v>
      </c>
      <c r="H30" s="284">
        <f t="shared" si="7"/>
        <v>0</v>
      </c>
      <c r="I30" s="349">
        <f t="shared" si="10"/>
        <v>500</v>
      </c>
      <c r="J30" s="258"/>
      <c r="K30" s="110">
        <f t="shared" si="8"/>
        <v>0</v>
      </c>
      <c r="M30" s="71"/>
    </row>
    <row r="31" spans="1:13" x14ac:dyDescent="0.2">
      <c r="A31" s="431"/>
      <c r="B31" s="112"/>
      <c r="C31" s="283"/>
      <c r="D31" s="283"/>
      <c r="E31" s="464"/>
      <c r="F31" s="528">
        <f t="shared" si="6"/>
        <v>0</v>
      </c>
      <c r="G31" s="284">
        <f t="shared" si="9"/>
        <v>0</v>
      </c>
      <c r="H31" s="284">
        <f t="shared" si="7"/>
        <v>0</v>
      </c>
      <c r="I31" s="349">
        <f t="shared" si="10"/>
        <v>500</v>
      </c>
      <c r="J31" s="258"/>
      <c r="K31" s="110">
        <f t="shared" si="8"/>
        <v>0</v>
      </c>
    </row>
    <row r="32" spans="1:13" x14ac:dyDescent="0.2">
      <c r="A32" s="470"/>
      <c r="B32" s="472"/>
      <c r="C32" s="283"/>
      <c r="D32" s="283"/>
      <c r="E32" s="464"/>
      <c r="F32" s="528">
        <f t="shared" si="6"/>
        <v>0</v>
      </c>
      <c r="G32" s="284">
        <f t="shared" si="9"/>
        <v>0</v>
      </c>
      <c r="H32" s="284">
        <f t="shared" si="7"/>
        <v>0</v>
      </c>
      <c r="I32" s="349">
        <f t="shared" si="10"/>
        <v>500</v>
      </c>
      <c r="J32" s="258"/>
      <c r="K32" s="110">
        <f t="shared" si="8"/>
        <v>0</v>
      </c>
      <c r="L32" s="291"/>
    </row>
    <row r="33" spans="1:14" x14ac:dyDescent="0.2">
      <c r="A33" s="431"/>
      <c r="B33" s="112"/>
      <c r="C33" s="283"/>
      <c r="D33" s="283"/>
      <c r="E33" s="464"/>
      <c r="F33" s="528">
        <f t="shared" si="6"/>
        <v>0</v>
      </c>
      <c r="G33" s="284">
        <f t="shared" si="9"/>
        <v>0</v>
      </c>
      <c r="H33" s="284">
        <f t="shared" si="7"/>
        <v>0</v>
      </c>
      <c r="I33" s="349">
        <f t="shared" si="10"/>
        <v>500</v>
      </c>
      <c r="J33" s="258"/>
      <c r="K33" s="110">
        <f t="shared" si="8"/>
        <v>0</v>
      </c>
    </row>
    <row r="34" spans="1:14" x14ac:dyDescent="0.2">
      <c r="A34" s="431"/>
      <c r="B34" s="112"/>
      <c r="C34" s="283"/>
      <c r="D34" s="283"/>
      <c r="E34" s="464"/>
      <c r="F34" s="528">
        <f t="shared" si="6"/>
        <v>0</v>
      </c>
      <c r="G34" s="284">
        <f t="shared" si="9"/>
        <v>0</v>
      </c>
      <c r="H34" s="284">
        <f t="shared" si="7"/>
        <v>0</v>
      </c>
      <c r="I34" s="349">
        <f t="shared" si="10"/>
        <v>500</v>
      </c>
      <c r="J34" s="258"/>
      <c r="K34" s="110">
        <f t="shared" si="8"/>
        <v>0</v>
      </c>
    </row>
    <row r="35" spans="1:14" x14ac:dyDescent="0.2">
      <c r="A35" s="431"/>
      <c r="B35" s="112"/>
      <c r="C35" s="283"/>
      <c r="D35" s="283"/>
      <c r="E35" s="464"/>
      <c r="F35" s="528">
        <f t="shared" si="6"/>
        <v>0</v>
      </c>
      <c r="G35" s="284">
        <f t="shared" si="9"/>
        <v>0</v>
      </c>
      <c r="H35" s="284">
        <f t="shared" si="7"/>
        <v>0</v>
      </c>
      <c r="I35" s="349">
        <f t="shared" si="10"/>
        <v>500</v>
      </c>
      <c r="J35" s="258"/>
      <c r="K35" s="110">
        <f t="shared" si="8"/>
        <v>0</v>
      </c>
    </row>
    <row r="36" spans="1:14" x14ac:dyDescent="0.2">
      <c r="A36" s="731" t="s">
        <v>18</v>
      </c>
      <c r="B36" s="732"/>
      <c r="C36" s="272">
        <f t="shared" ref="C36:H36" si="11">SUM(C28:C35)</f>
        <v>0</v>
      </c>
      <c r="D36" s="272">
        <f t="shared" si="11"/>
        <v>0</v>
      </c>
      <c r="E36" s="662">
        <f t="shared" si="11"/>
        <v>0</v>
      </c>
      <c r="F36" s="525">
        <f t="shared" si="11"/>
        <v>0</v>
      </c>
      <c r="G36" s="284">
        <f>SUM(G28:G35)</f>
        <v>0</v>
      </c>
      <c r="H36" s="48">
        <f t="shared" si="11"/>
        <v>0</v>
      </c>
      <c r="I36" s="287">
        <f>I24-H36</f>
        <v>500</v>
      </c>
      <c r="J36" s="121"/>
      <c r="K36" s="22"/>
    </row>
    <row r="37" spans="1:14" x14ac:dyDescent="0.2">
      <c r="A37" s="4"/>
      <c r="B37" s="121"/>
      <c r="C37" s="7"/>
      <c r="D37" s="7"/>
      <c r="E37" s="7"/>
      <c r="F37" s="8"/>
      <c r="G37" s="57" t="s">
        <v>46</v>
      </c>
      <c r="H37" s="64">
        <f>H36/I24%</f>
        <v>0</v>
      </c>
      <c r="I37" s="53">
        <f>I36/I24%</f>
        <v>100</v>
      </c>
      <c r="J37" s="121"/>
      <c r="K37" s="22"/>
    </row>
    <row r="38" spans="1:14" x14ac:dyDescent="0.2">
      <c r="A38" s="16"/>
      <c r="B38" s="125"/>
      <c r="C38" s="17"/>
      <c r="D38" s="17"/>
      <c r="E38" s="17"/>
      <c r="F38" s="18"/>
      <c r="G38" s="18"/>
      <c r="H38" s="18"/>
      <c r="I38" s="19"/>
      <c r="J38" s="125"/>
      <c r="K38" s="30"/>
    </row>
    <row r="39" spans="1:14" x14ac:dyDescent="0.2">
      <c r="A39" s="16"/>
      <c r="B39" s="125"/>
      <c r="C39" s="17"/>
      <c r="D39" s="17"/>
      <c r="E39" s="17"/>
      <c r="F39" s="18"/>
      <c r="G39" s="18"/>
      <c r="H39" s="18"/>
      <c r="I39" s="19"/>
      <c r="J39" s="125"/>
      <c r="K39" s="30"/>
    </row>
    <row r="40" spans="1:14" x14ac:dyDescent="0.2">
      <c r="A40" s="16"/>
      <c r="B40" s="125"/>
      <c r="C40" s="17"/>
      <c r="D40" s="17"/>
      <c r="E40" s="17"/>
      <c r="F40" s="18"/>
      <c r="G40" s="18"/>
      <c r="H40" s="18"/>
      <c r="I40" s="19"/>
      <c r="J40" s="125"/>
      <c r="K40" s="30"/>
    </row>
    <row r="41" spans="1:14" x14ac:dyDescent="0.2">
      <c r="A41" s="16"/>
      <c r="B41" s="125"/>
      <c r="C41" s="17"/>
      <c r="D41" s="17"/>
      <c r="E41" s="17"/>
      <c r="F41" s="18"/>
      <c r="G41" s="18"/>
      <c r="H41" s="18"/>
      <c r="I41" s="19"/>
      <c r="J41" s="125"/>
      <c r="K41" s="30"/>
    </row>
    <row r="43" spans="1:14" x14ac:dyDescent="0.2">
      <c r="A43" s="789" t="s">
        <v>116</v>
      </c>
      <c r="B43" s="789"/>
      <c r="C43" s="789"/>
      <c r="D43" s="789"/>
      <c r="E43" s="789"/>
      <c r="F43" s="789"/>
      <c r="G43" s="65">
        <f>I24+I4</f>
        <v>800</v>
      </c>
    </row>
    <row r="44" spans="1:14" x14ac:dyDescent="0.2">
      <c r="G44" s="32"/>
    </row>
    <row r="45" spans="1:14" x14ac:dyDescent="0.2">
      <c r="A45" s="784" t="s">
        <v>115</v>
      </c>
      <c r="B45" s="784"/>
      <c r="C45" s="784"/>
      <c r="D45" s="784"/>
      <c r="E45" s="784"/>
      <c r="F45" s="784"/>
      <c r="G45" s="65">
        <f>H36+H19</f>
        <v>0</v>
      </c>
    </row>
    <row r="46" spans="1:14" x14ac:dyDescent="0.2">
      <c r="G46" s="32"/>
    </row>
    <row r="47" spans="1:14" x14ac:dyDescent="0.2">
      <c r="A47" s="830" t="s">
        <v>113</v>
      </c>
      <c r="B47" s="830"/>
      <c r="C47" s="830"/>
      <c r="D47" s="830"/>
      <c r="E47" s="830"/>
      <c r="F47" s="830"/>
      <c r="G47" s="362">
        <f>G43-G45</f>
        <v>800</v>
      </c>
    </row>
    <row r="48" spans="1:14" x14ac:dyDescent="0.2">
      <c r="G48" s="32"/>
    </row>
    <row r="49" spans="1:8" x14ac:dyDescent="0.2">
      <c r="A49" s="748" t="s">
        <v>50</v>
      </c>
      <c r="B49" s="748"/>
      <c r="C49" s="748"/>
      <c r="D49" s="748"/>
      <c r="E49" s="748"/>
      <c r="F49" s="748"/>
      <c r="G49" s="66">
        <f>G45/G43%</f>
        <v>0</v>
      </c>
    </row>
    <row r="50" spans="1:8" x14ac:dyDescent="0.2">
      <c r="A50" s="73"/>
      <c r="B50" s="127"/>
      <c r="C50" s="73"/>
      <c r="D50" s="73"/>
      <c r="E50" s="73"/>
      <c r="F50" s="73"/>
      <c r="G50" s="66"/>
    </row>
    <row r="51" spans="1:8" x14ac:dyDescent="0.2">
      <c r="A51" s="68" t="s">
        <v>51</v>
      </c>
      <c r="B51" s="128"/>
      <c r="C51" s="68"/>
      <c r="D51" s="68"/>
      <c r="E51" s="68"/>
      <c r="F51" s="68"/>
      <c r="G51" s="260">
        <f>G47/G43%</f>
        <v>100</v>
      </c>
    </row>
    <row r="53" spans="1:8" x14ac:dyDescent="0.2">
      <c r="A53" s="831" t="s">
        <v>56</v>
      </c>
      <c r="B53" s="831"/>
      <c r="C53" s="831"/>
      <c r="D53" s="831"/>
      <c r="E53" s="831"/>
      <c r="F53" s="831"/>
      <c r="G53" s="261">
        <f>F36+F19</f>
        <v>0</v>
      </c>
    </row>
    <row r="55" spans="1:8" x14ac:dyDescent="0.2">
      <c r="A55" s="791" t="s">
        <v>57</v>
      </c>
      <c r="B55" s="791"/>
      <c r="C55" s="791"/>
      <c r="D55" s="791"/>
      <c r="E55" s="791"/>
      <c r="F55" s="791"/>
      <c r="G55" s="829">
        <f>G36+G19</f>
        <v>0</v>
      </c>
      <c r="H55" s="829"/>
    </row>
  </sheetData>
  <mergeCells count="27">
    <mergeCell ref="A1:L1"/>
    <mergeCell ref="A2:K2"/>
    <mergeCell ref="A55:F55"/>
    <mergeCell ref="G55:H55"/>
    <mergeCell ref="A43:F43"/>
    <mergeCell ref="A45:F45"/>
    <mergeCell ref="A47:F47"/>
    <mergeCell ref="A49:F49"/>
    <mergeCell ref="A53:F53"/>
    <mergeCell ref="A36:B36"/>
    <mergeCell ref="B23:H23"/>
    <mergeCell ref="J23:K24"/>
    <mergeCell ref="B24:H24"/>
    <mergeCell ref="A25:A26"/>
    <mergeCell ref="B25:B26"/>
    <mergeCell ref="C25:E25"/>
    <mergeCell ref="F25:H25"/>
    <mergeCell ref="J25:J26"/>
    <mergeCell ref="A19:B19"/>
    <mergeCell ref="B3:H3"/>
    <mergeCell ref="J3:K4"/>
    <mergeCell ref="B4:H4"/>
    <mergeCell ref="A5:A6"/>
    <mergeCell ref="B5:B6"/>
    <mergeCell ref="C5:E5"/>
    <mergeCell ref="F5:H5"/>
    <mergeCell ref="J5:J6"/>
  </mergeCells>
  <pageMargins left="0.7" right="0.7" top="0.75" bottom="0.75" header="0.3" footer="0.3"/>
  <pageSetup paperSize="9" orientation="portrait" horizontalDpi="4294967293" verticalDpi="144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CB89E-AF7F-4F39-AE07-EC6A3ED8AD77}">
  <dimension ref="A1:N54"/>
  <sheetViews>
    <sheetView topLeftCell="A13" workbookViewId="0">
      <selection sqref="A1:L1"/>
    </sheetView>
  </sheetViews>
  <sheetFormatPr defaultRowHeight="12.75" x14ac:dyDescent="0.2"/>
  <cols>
    <col min="1" max="1" width="8.85546875" customWidth="1"/>
    <col min="2" max="2" width="7.85546875" style="123" customWidth="1"/>
    <col min="3" max="5" width="9.85546875" customWidth="1"/>
    <col min="7" max="7" width="13" customWidth="1"/>
    <col min="8" max="8" width="8" customWidth="1"/>
    <col min="9" max="9" width="8.28515625" customWidth="1"/>
    <col min="10" max="10" width="10" style="123" customWidth="1"/>
    <col min="11" max="11" width="6.85546875" customWidth="1"/>
    <col min="12" max="12" width="9.140625" style="282"/>
    <col min="13" max="13" width="11.28515625" style="71" customWidth="1"/>
  </cols>
  <sheetData>
    <row r="1" spans="1:14" ht="18" x14ac:dyDescent="0.25">
      <c r="A1" s="835" t="s">
        <v>232</v>
      </c>
      <c r="B1" s="835"/>
      <c r="C1" s="835"/>
      <c r="D1" s="835"/>
      <c r="E1" s="835"/>
      <c r="F1" s="835"/>
      <c r="G1" s="835"/>
      <c r="H1" s="835"/>
      <c r="I1" s="835"/>
      <c r="J1" s="835"/>
      <c r="K1" s="835"/>
      <c r="L1" s="835"/>
    </row>
    <row r="2" spans="1:14" ht="26.25" x14ac:dyDescent="0.2">
      <c r="A2" s="794" t="str">
        <f>GDSL!A2</f>
        <v>TAHUN 2026</v>
      </c>
      <c r="B2" s="794"/>
      <c r="C2" s="794"/>
      <c r="D2" s="794"/>
      <c r="E2" s="794"/>
      <c r="F2" s="794"/>
      <c r="G2" s="794"/>
      <c r="H2" s="794"/>
      <c r="I2" s="794"/>
      <c r="J2" s="794"/>
      <c r="K2" s="794"/>
      <c r="L2" s="71"/>
    </row>
    <row r="3" spans="1:14" ht="15" x14ac:dyDescent="0.25">
      <c r="A3" s="93" t="s">
        <v>0</v>
      </c>
      <c r="B3" s="832" t="s">
        <v>223</v>
      </c>
      <c r="C3" s="832"/>
      <c r="D3" s="832"/>
      <c r="E3" s="832"/>
      <c r="F3" s="832"/>
      <c r="G3" s="832"/>
      <c r="H3" s="832"/>
      <c r="I3" s="70" t="s">
        <v>11</v>
      </c>
      <c r="J3" s="739" t="s">
        <v>15</v>
      </c>
      <c r="K3" s="739"/>
      <c r="L3" s="491"/>
      <c r="M3" s="664">
        <v>45384</v>
      </c>
    </row>
    <row r="4" spans="1:14" ht="14.25" x14ac:dyDescent="0.2">
      <c r="A4" s="94" t="s">
        <v>1</v>
      </c>
      <c r="B4" s="833" t="s">
        <v>222</v>
      </c>
      <c r="C4" s="833"/>
      <c r="D4" s="833"/>
      <c r="E4" s="833"/>
      <c r="F4" s="833"/>
      <c r="G4" s="833"/>
      <c r="H4" s="833"/>
      <c r="I4" s="69">
        <v>50</v>
      </c>
      <c r="J4" s="739"/>
      <c r="K4" s="739"/>
      <c r="N4" s="71"/>
    </row>
    <row r="5" spans="1:14" x14ac:dyDescent="0.2">
      <c r="A5" s="726" t="s">
        <v>3</v>
      </c>
      <c r="B5" s="834" t="s">
        <v>2</v>
      </c>
      <c r="C5" s="822" t="s">
        <v>19</v>
      </c>
      <c r="D5" s="823"/>
      <c r="E5" s="824"/>
      <c r="F5" s="825" t="s">
        <v>31</v>
      </c>
      <c r="G5" s="826"/>
      <c r="H5" s="827"/>
      <c r="I5" s="84" t="s">
        <v>12</v>
      </c>
      <c r="J5" s="726" t="s">
        <v>3</v>
      </c>
      <c r="K5" s="4" t="s">
        <v>13</v>
      </c>
    </row>
    <row r="6" spans="1:14" x14ac:dyDescent="0.2">
      <c r="A6" s="726"/>
      <c r="B6" s="834"/>
      <c r="C6" s="4" t="s">
        <v>30</v>
      </c>
      <c r="D6" s="4" t="s">
        <v>28</v>
      </c>
      <c r="E6" s="561" t="s">
        <v>132</v>
      </c>
      <c r="F6" s="4" t="s">
        <v>29</v>
      </c>
      <c r="G6" s="80" t="s">
        <v>32</v>
      </c>
      <c r="H6" s="67" t="s">
        <v>33</v>
      </c>
      <c r="I6" s="67" t="s">
        <v>33</v>
      </c>
      <c r="J6" s="726"/>
      <c r="K6" s="4" t="s">
        <v>14</v>
      </c>
    </row>
    <row r="7" spans="1:14" x14ac:dyDescent="0.2">
      <c r="A7" s="401" t="s">
        <v>182</v>
      </c>
      <c r="B7" s="402">
        <v>44866</v>
      </c>
      <c r="C7" s="560">
        <v>957930</v>
      </c>
      <c r="D7" s="560">
        <v>906870</v>
      </c>
      <c r="E7" s="562"/>
      <c r="F7" s="4"/>
      <c r="G7" s="4"/>
      <c r="H7" s="4"/>
      <c r="I7" s="12"/>
      <c r="J7" s="122"/>
      <c r="K7" s="4"/>
    </row>
    <row r="8" spans="1:14" x14ac:dyDescent="0.2">
      <c r="A8" s="431"/>
      <c r="B8" s="435"/>
      <c r="C8" s="283"/>
      <c r="D8" s="283"/>
      <c r="E8" s="283"/>
      <c r="F8" s="526">
        <f>C8*20+D8*20+E8*20</f>
        <v>0</v>
      </c>
      <c r="G8" s="284">
        <f>(C8*C$7+D8*D$7)</f>
        <v>0</v>
      </c>
      <c r="H8" s="284">
        <f>C8+D8+E8</f>
        <v>0</v>
      </c>
      <c r="I8" s="349">
        <f>I4-H8</f>
        <v>50</v>
      </c>
      <c r="J8" s="258"/>
      <c r="K8" s="110">
        <f>J8-A8</f>
        <v>0</v>
      </c>
    </row>
    <row r="9" spans="1:14" x14ac:dyDescent="0.2">
      <c r="A9" s="431"/>
      <c r="B9" s="435"/>
      <c r="C9" s="283"/>
      <c r="D9" s="283"/>
      <c r="E9" s="283"/>
      <c r="F9" s="526">
        <f>C9*20+D9*20+E9*20</f>
        <v>0</v>
      </c>
      <c r="G9" s="284">
        <f t="shared" ref="G9:G18" si="0">(C9*C$7+D9*D$7)</f>
        <v>0</v>
      </c>
      <c r="H9" s="284">
        <f>C9+D9+E9</f>
        <v>0</v>
      </c>
      <c r="I9" s="349">
        <f>I8-H9</f>
        <v>50</v>
      </c>
      <c r="J9" s="258"/>
      <c r="K9" s="110">
        <f>J9-A9</f>
        <v>0</v>
      </c>
    </row>
    <row r="10" spans="1:14" x14ac:dyDescent="0.2">
      <c r="A10" s="431"/>
      <c r="B10" s="435"/>
      <c r="C10" s="283"/>
      <c r="D10" s="283"/>
      <c r="E10" s="283"/>
      <c r="F10" s="526">
        <f>C10*20+D10*20+E10*20</f>
        <v>0</v>
      </c>
      <c r="G10" s="284">
        <f t="shared" si="0"/>
        <v>0</v>
      </c>
      <c r="H10" s="284">
        <f>C10+D10+E10</f>
        <v>0</v>
      </c>
      <c r="I10" s="349">
        <f t="shared" ref="I10:I18" si="1">I9-H10</f>
        <v>50</v>
      </c>
      <c r="J10" s="258"/>
      <c r="K10" s="110">
        <f>J10-A10</f>
        <v>0</v>
      </c>
    </row>
    <row r="11" spans="1:14" x14ac:dyDescent="0.2">
      <c r="A11" s="431"/>
      <c r="B11" s="435"/>
      <c r="C11" s="283"/>
      <c r="D11" s="283"/>
      <c r="E11" s="283"/>
      <c r="F11" s="526">
        <f>C11*20+D11*20+E11*20</f>
        <v>0</v>
      </c>
      <c r="G11" s="284">
        <f t="shared" si="0"/>
        <v>0</v>
      </c>
      <c r="H11" s="284">
        <f>C11+D11+E11</f>
        <v>0</v>
      </c>
      <c r="I11" s="349">
        <f t="shared" si="1"/>
        <v>50</v>
      </c>
      <c r="J11" s="258"/>
      <c r="K11" s="110">
        <f>J11-A11</f>
        <v>0</v>
      </c>
    </row>
    <row r="12" spans="1:14" x14ac:dyDescent="0.2">
      <c r="A12" s="431"/>
      <c r="B12" s="437"/>
      <c r="C12" s="283"/>
      <c r="D12" s="283"/>
      <c r="E12" s="283"/>
      <c r="F12" s="526">
        <f>C12*20+D12*20+E12*20</f>
        <v>0</v>
      </c>
      <c r="G12" s="284">
        <f t="shared" si="0"/>
        <v>0</v>
      </c>
      <c r="H12" s="284">
        <f>C12+D12+E12</f>
        <v>0</v>
      </c>
      <c r="I12" s="349">
        <f t="shared" si="1"/>
        <v>50</v>
      </c>
      <c r="J12" s="258"/>
      <c r="K12" s="541">
        <f>J12-A12</f>
        <v>0</v>
      </c>
    </row>
    <row r="13" spans="1:14" x14ac:dyDescent="0.2">
      <c r="A13" s="431"/>
      <c r="B13" s="437"/>
      <c r="C13" s="283"/>
      <c r="D13" s="283"/>
      <c r="E13" s="283"/>
      <c r="F13" s="526">
        <f t="shared" ref="F13:F18" si="2">C13*20+D13*20+E13*20</f>
        <v>0</v>
      </c>
      <c r="G13" s="284">
        <f t="shared" si="0"/>
        <v>0</v>
      </c>
      <c r="H13" s="284">
        <f t="shared" ref="H13:H18" si="3">C13+D13+E13</f>
        <v>0</v>
      </c>
      <c r="I13" s="349">
        <f t="shared" si="1"/>
        <v>50</v>
      </c>
      <c r="J13" s="258"/>
      <c r="K13" s="110">
        <f t="shared" ref="K13:K18" si="4">J13-A13</f>
        <v>0</v>
      </c>
    </row>
    <row r="14" spans="1:14" x14ac:dyDescent="0.2">
      <c r="A14" s="431"/>
      <c r="B14" s="437"/>
      <c r="C14" s="283"/>
      <c r="D14" s="283"/>
      <c r="E14" s="283"/>
      <c r="F14" s="526">
        <f t="shared" si="2"/>
        <v>0</v>
      </c>
      <c r="G14" s="284">
        <f t="shared" si="0"/>
        <v>0</v>
      </c>
      <c r="H14" s="284">
        <f t="shared" si="3"/>
        <v>0</v>
      </c>
      <c r="I14" s="349">
        <f t="shared" si="1"/>
        <v>50</v>
      </c>
      <c r="J14" s="258"/>
      <c r="K14" s="110">
        <f t="shared" si="4"/>
        <v>0</v>
      </c>
    </row>
    <row r="15" spans="1:14" x14ac:dyDescent="0.2">
      <c r="A15" s="431"/>
      <c r="B15" s="437"/>
      <c r="C15" s="283"/>
      <c r="D15" s="283"/>
      <c r="E15" s="283"/>
      <c r="F15" s="526">
        <f t="shared" si="2"/>
        <v>0</v>
      </c>
      <c r="G15" s="284">
        <f t="shared" si="0"/>
        <v>0</v>
      </c>
      <c r="H15" s="284">
        <f t="shared" si="3"/>
        <v>0</v>
      </c>
      <c r="I15" s="349">
        <f t="shared" si="1"/>
        <v>50</v>
      </c>
      <c r="J15" s="258"/>
      <c r="K15" s="110">
        <f t="shared" si="4"/>
        <v>0</v>
      </c>
    </row>
    <row r="16" spans="1:14" x14ac:dyDescent="0.2">
      <c r="A16" s="431"/>
      <c r="B16" s="437"/>
      <c r="C16" s="283"/>
      <c r="D16" s="283"/>
      <c r="E16" s="283"/>
      <c r="F16" s="526">
        <f t="shared" si="2"/>
        <v>0</v>
      </c>
      <c r="G16" s="284">
        <f t="shared" si="0"/>
        <v>0</v>
      </c>
      <c r="H16" s="284">
        <f t="shared" si="3"/>
        <v>0</v>
      </c>
      <c r="I16" s="349">
        <f t="shared" si="1"/>
        <v>50</v>
      </c>
      <c r="J16" s="258"/>
      <c r="K16" s="110">
        <f t="shared" si="4"/>
        <v>0</v>
      </c>
    </row>
    <row r="17" spans="1:13" x14ac:dyDescent="0.2">
      <c r="A17" s="431"/>
      <c r="B17" s="437"/>
      <c r="C17" s="283"/>
      <c r="D17" s="283"/>
      <c r="E17" s="283"/>
      <c r="F17" s="526">
        <f t="shared" si="2"/>
        <v>0</v>
      </c>
      <c r="G17" s="284">
        <f t="shared" si="0"/>
        <v>0</v>
      </c>
      <c r="H17" s="284">
        <f t="shared" si="3"/>
        <v>0</v>
      </c>
      <c r="I17" s="349">
        <f t="shared" si="1"/>
        <v>50</v>
      </c>
      <c r="J17" s="258"/>
      <c r="K17" s="110">
        <f t="shared" si="4"/>
        <v>0</v>
      </c>
    </row>
    <row r="18" spans="1:13" x14ac:dyDescent="0.2">
      <c r="A18" s="431"/>
      <c r="B18" s="437"/>
      <c r="C18" s="283"/>
      <c r="D18" s="283"/>
      <c r="E18" s="283"/>
      <c r="F18" s="526">
        <f t="shared" si="2"/>
        <v>0</v>
      </c>
      <c r="G18" s="284">
        <f t="shared" si="0"/>
        <v>0</v>
      </c>
      <c r="H18" s="284">
        <f t="shared" si="3"/>
        <v>0</v>
      </c>
      <c r="I18" s="349">
        <f t="shared" si="1"/>
        <v>50</v>
      </c>
      <c r="J18" s="258"/>
      <c r="K18" s="110">
        <f t="shared" si="4"/>
        <v>0</v>
      </c>
    </row>
    <row r="19" spans="1:13" x14ac:dyDescent="0.2">
      <c r="A19" s="731" t="s">
        <v>18</v>
      </c>
      <c r="B19" s="732"/>
      <c r="C19" s="7">
        <f t="shared" ref="C19:H19" si="5">SUM(C8:C18)</f>
        <v>0</v>
      </c>
      <c r="D19" s="7">
        <f t="shared" si="5"/>
        <v>0</v>
      </c>
      <c r="E19" s="7">
        <f t="shared" si="5"/>
        <v>0</v>
      </c>
      <c r="F19" s="527">
        <f t="shared" si="5"/>
        <v>0</v>
      </c>
      <c r="G19" s="79">
        <f t="shared" si="5"/>
        <v>0</v>
      </c>
      <c r="H19" s="48">
        <f t="shared" si="5"/>
        <v>0</v>
      </c>
      <c r="I19" s="49">
        <f>I4-H19</f>
        <v>50</v>
      </c>
      <c r="J19" s="121"/>
      <c r="K19" s="15">
        <f>J19-B19</f>
        <v>0</v>
      </c>
    </row>
    <row r="20" spans="1:13" x14ac:dyDescent="0.2">
      <c r="A20" s="4"/>
      <c r="B20" s="121"/>
      <c r="C20" s="7"/>
      <c r="D20" s="7"/>
      <c r="E20" s="7"/>
      <c r="F20" s="8"/>
      <c r="G20" s="57" t="s">
        <v>46</v>
      </c>
      <c r="H20" s="64">
        <f>H19/I4%</f>
        <v>0</v>
      </c>
      <c r="I20" s="53">
        <f>I19/I4%</f>
        <v>100</v>
      </c>
      <c r="J20" s="121"/>
      <c r="K20" s="22"/>
    </row>
    <row r="21" spans="1:13" x14ac:dyDescent="0.2">
      <c r="A21" s="16"/>
      <c r="B21" s="125"/>
      <c r="C21" s="17"/>
      <c r="D21" s="17"/>
      <c r="E21" s="17"/>
      <c r="F21" s="18"/>
      <c r="G21" s="18"/>
      <c r="H21" s="18"/>
      <c r="I21" s="19"/>
      <c r="J21" s="125"/>
      <c r="K21" s="30"/>
    </row>
    <row r="23" spans="1:13" ht="15" x14ac:dyDescent="0.25">
      <c r="A23" s="93" t="s">
        <v>0</v>
      </c>
      <c r="B23" s="832" t="s">
        <v>223</v>
      </c>
      <c r="C23" s="832"/>
      <c r="D23" s="832"/>
      <c r="E23" s="832"/>
      <c r="F23" s="832"/>
      <c r="G23" s="832"/>
      <c r="H23" s="832"/>
      <c r="I23" s="70" t="s">
        <v>11</v>
      </c>
      <c r="J23" s="739" t="s">
        <v>15</v>
      </c>
      <c r="K23" s="739"/>
      <c r="L23" s="491"/>
      <c r="M23" s="664">
        <v>45377</v>
      </c>
    </row>
    <row r="24" spans="1:13" ht="14.25" x14ac:dyDescent="0.2">
      <c r="A24" s="94" t="s">
        <v>1</v>
      </c>
      <c r="B24" s="817" t="s">
        <v>256</v>
      </c>
      <c r="C24" s="818"/>
      <c r="D24" s="818"/>
      <c r="E24" s="818"/>
      <c r="F24" s="818"/>
      <c r="G24" s="818"/>
      <c r="H24" s="819"/>
      <c r="I24" s="69">
        <v>50</v>
      </c>
      <c r="J24" s="739"/>
      <c r="K24" s="739"/>
    </row>
    <row r="25" spans="1:13" x14ac:dyDescent="0.2">
      <c r="A25" s="726" t="s">
        <v>3</v>
      </c>
      <c r="B25" s="834" t="s">
        <v>2</v>
      </c>
      <c r="C25" s="822" t="s">
        <v>19</v>
      </c>
      <c r="D25" s="823"/>
      <c r="E25" s="824"/>
      <c r="F25" s="825" t="s">
        <v>31</v>
      </c>
      <c r="G25" s="826"/>
      <c r="H25" s="827"/>
      <c r="I25" s="84" t="s">
        <v>12</v>
      </c>
      <c r="J25" s="726" t="s">
        <v>3</v>
      </c>
      <c r="K25" s="4" t="s">
        <v>13</v>
      </c>
    </row>
    <row r="26" spans="1:13" x14ac:dyDescent="0.2">
      <c r="A26" s="726"/>
      <c r="B26" s="834"/>
      <c r="C26" s="4" t="s">
        <v>30</v>
      </c>
      <c r="D26" s="4" t="s">
        <v>28</v>
      </c>
      <c r="E26" s="561" t="s">
        <v>132</v>
      </c>
      <c r="F26" s="4" t="s">
        <v>29</v>
      </c>
      <c r="G26" s="80" t="s">
        <v>32</v>
      </c>
      <c r="H26" s="67" t="s">
        <v>33</v>
      </c>
      <c r="I26" s="67" t="s">
        <v>33</v>
      </c>
      <c r="J26" s="726"/>
      <c r="K26" s="4" t="s">
        <v>14</v>
      </c>
    </row>
    <row r="27" spans="1:13" x14ac:dyDescent="0.2">
      <c r="A27" s="401" t="s">
        <v>182</v>
      </c>
      <c r="B27" s="402">
        <v>44866</v>
      </c>
      <c r="C27" s="560">
        <v>957930</v>
      </c>
      <c r="D27" s="560">
        <v>906870</v>
      </c>
      <c r="E27" s="562"/>
      <c r="F27" s="4"/>
      <c r="G27" s="4"/>
      <c r="H27" s="4"/>
      <c r="I27" s="12"/>
      <c r="J27" s="122"/>
      <c r="K27" s="4"/>
    </row>
    <row r="28" spans="1:13" x14ac:dyDescent="0.2">
      <c r="A28" s="431"/>
      <c r="B28" s="435"/>
      <c r="C28" s="283"/>
      <c r="D28" s="283"/>
      <c r="E28" s="283"/>
      <c r="F28" s="526">
        <f>C28*20+D28*20+E28*20</f>
        <v>0</v>
      </c>
      <c r="G28" s="284">
        <f>(C28*C$27+D28*D$27)</f>
        <v>0</v>
      </c>
      <c r="H28" s="284">
        <f>C28+D28+E28</f>
        <v>0</v>
      </c>
      <c r="I28" s="349">
        <f>I24-H28</f>
        <v>50</v>
      </c>
      <c r="J28" s="258"/>
      <c r="K28" s="110">
        <f>J28-A28</f>
        <v>0</v>
      </c>
    </row>
    <row r="29" spans="1:13" x14ac:dyDescent="0.2">
      <c r="A29" s="431"/>
      <c r="B29" s="435"/>
      <c r="C29" s="283"/>
      <c r="D29" s="283"/>
      <c r="E29" s="283"/>
      <c r="F29" s="526">
        <f>C29*20+D29*20+E29*20</f>
        <v>0</v>
      </c>
      <c r="G29" s="284">
        <f t="shared" ref="G29:G38" si="6">(C29*C$27+D29*D$27)</f>
        <v>0</v>
      </c>
      <c r="H29" s="284">
        <f>C29+D29+E29</f>
        <v>0</v>
      </c>
      <c r="I29" s="349">
        <f>I28-H29</f>
        <v>50</v>
      </c>
      <c r="J29" s="258"/>
      <c r="K29" s="110">
        <f>J29-A29</f>
        <v>0</v>
      </c>
    </row>
    <row r="30" spans="1:13" x14ac:dyDescent="0.2">
      <c r="A30" s="431"/>
      <c r="B30" s="435"/>
      <c r="C30" s="283"/>
      <c r="D30" s="283"/>
      <c r="E30" s="283"/>
      <c r="F30" s="526">
        <f>C30*20+D30*20+E30*20</f>
        <v>0</v>
      </c>
      <c r="G30" s="284">
        <f t="shared" si="6"/>
        <v>0</v>
      </c>
      <c r="H30" s="284">
        <f>C30+D30+E30</f>
        <v>0</v>
      </c>
      <c r="I30" s="349">
        <f t="shared" ref="I30:I38" si="7">I29-H30</f>
        <v>50</v>
      </c>
      <c r="J30" s="258"/>
      <c r="K30" s="110">
        <f>J30-A30</f>
        <v>0</v>
      </c>
    </row>
    <row r="31" spans="1:13" x14ac:dyDescent="0.2">
      <c r="A31" s="431"/>
      <c r="B31" s="435"/>
      <c r="C31" s="283"/>
      <c r="D31" s="283"/>
      <c r="E31" s="283"/>
      <c r="F31" s="526">
        <f>C31*20+D31*20+E31*20</f>
        <v>0</v>
      </c>
      <c r="G31" s="284">
        <f t="shared" si="6"/>
        <v>0</v>
      </c>
      <c r="H31" s="284">
        <f>C31+D31+E31</f>
        <v>0</v>
      </c>
      <c r="I31" s="349">
        <f t="shared" si="7"/>
        <v>50</v>
      </c>
      <c r="J31" s="258"/>
      <c r="K31" s="110">
        <f>J31-A31</f>
        <v>0</v>
      </c>
    </row>
    <row r="32" spans="1:13" x14ac:dyDescent="0.2">
      <c r="A32" s="431"/>
      <c r="B32" s="437"/>
      <c r="C32" s="283"/>
      <c r="D32" s="283"/>
      <c r="E32" s="283"/>
      <c r="F32" s="526">
        <f>C32*20+D32*20+E32*20</f>
        <v>0</v>
      </c>
      <c r="G32" s="284">
        <f t="shared" si="6"/>
        <v>0</v>
      </c>
      <c r="H32" s="284">
        <f>C32+D32+E32</f>
        <v>0</v>
      </c>
      <c r="I32" s="349">
        <f t="shared" si="7"/>
        <v>50</v>
      </c>
      <c r="J32" s="258"/>
      <c r="K32" s="541">
        <f>J32-A32</f>
        <v>0</v>
      </c>
    </row>
    <row r="33" spans="1:11" x14ac:dyDescent="0.2">
      <c r="A33" s="431"/>
      <c r="B33" s="437"/>
      <c r="C33" s="283"/>
      <c r="D33" s="283"/>
      <c r="E33" s="283"/>
      <c r="F33" s="526">
        <f t="shared" ref="F33:F38" si="8">C33*20+D33*20+E33*20</f>
        <v>0</v>
      </c>
      <c r="G33" s="284">
        <f t="shared" si="6"/>
        <v>0</v>
      </c>
      <c r="H33" s="284">
        <f t="shared" ref="H33:H38" si="9">C33+D33+E33</f>
        <v>0</v>
      </c>
      <c r="I33" s="349">
        <f t="shared" si="7"/>
        <v>50</v>
      </c>
      <c r="J33" s="258"/>
      <c r="K33" s="110">
        <f t="shared" ref="K33:K38" si="10">J33-A33</f>
        <v>0</v>
      </c>
    </row>
    <row r="34" spans="1:11" x14ac:dyDescent="0.2">
      <c r="A34" s="431"/>
      <c r="B34" s="437"/>
      <c r="C34" s="283"/>
      <c r="D34" s="283"/>
      <c r="E34" s="283"/>
      <c r="F34" s="526">
        <f t="shared" si="8"/>
        <v>0</v>
      </c>
      <c r="G34" s="284">
        <f t="shared" si="6"/>
        <v>0</v>
      </c>
      <c r="H34" s="284">
        <f t="shared" si="9"/>
        <v>0</v>
      </c>
      <c r="I34" s="349">
        <f t="shared" si="7"/>
        <v>50</v>
      </c>
      <c r="J34" s="258"/>
      <c r="K34" s="110">
        <f t="shared" si="10"/>
        <v>0</v>
      </c>
    </row>
    <row r="35" spans="1:11" x14ac:dyDescent="0.2">
      <c r="A35" s="431"/>
      <c r="B35" s="437"/>
      <c r="C35" s="283"/>
      <c r="D35" s="283"/>
      <c r="E35" s="283"/>
      <c r="F35" s="526">
        <f t="shared" si="8"/>
        <v>0</v>
      </c>
      <c r="G35" s="284">
        <f t="shared" si="6"/>
        <v>0</v>
      </c>
      <c r="H35" s="284">
        <f t="shared" si="9"/>
        <v>0</v>
      </c>
      <c r="I35" s="349">
        <f t="shared" si="7"/>
        <v>50</v>
      </c>
      <c r="J35" s="258"/>
      <c r="K35" s="110">
        <f t="shared" si="10"/>
        <v>0</v>
      </c>
    </row>
    <row r="36" spans="1:11" x14ac:dyDescent="0.2">
      <c r="A36" s="431"/>
      <c r="B36" s="437"/>
      <c r="C36" s="283"/>
      <c r="D36" s="283"/>
      <c r="E36" s="283"/>
      <c r="F36" s="526">
        <f t="shared" si="8"/>
        <v>0</v>
      </c>
      <c r="G36" s="284">
        <f t="shared" si="6"/>
        <v>0</v>
      </c>
      <c r="H36" s="284">
        <f t="shared" si="9"/>
        <v>0</v>
      </c>
      <c r="I36" s="349">
        <f t="shared" si="7"/>
        <v>50</v>
      </c>
      <c r="J36" s="258"/>
      <c r="K36" s="110">
        <f t="shared" si="10"/>
        <v>0</v>
      </c>
    </row>
    <row r="37" spans="1:11" x14ac:dyDescent="0.2">
      <c r="A37" s="431"/>
      <c r="B37" s="437"/>
      <c r="C37" s="283"/>
      <c r="D37" s="283"/>
      <c r="E37" s="283"/>
      <c r="F37" s="526">
        <f t="shared" si="8"/>
        <v>0</v>
      </c>
      <c r="G37" s="284">
        <f t="shared" si="6"/>
        <v>0</v>
      </c>
      <c r="H37" s="284">
        <f t="shared" si="9"/>
        <v>0</v>
      </c>
      <c r="I37" s="349">
        <f t="shared" si="7"/>
        <v>50</v>
      </c>
      <c r="J37" s="258"/>
      <c r="K37" s="110">
        <f t="shared" si="10"/>
        <v>0</v>
      </c>
    </row>
    <row r="38" spans="1:11" x14ac:dyDescent="0.2">
      <c r="A38" s="431"/>
      <c r="B38" s="437"/>
      <c r="C38" s="283"/>
      <c r="D38" s="283"/>
      <c r="E38" s="283"/>
      <c r="F38" s="526">
        <f t="shared" si="8"/>
        <v>0</v>
      </c>
      <c r="G38" s="284">
        <f t="shared" si="6"/>
        <v>0</v>
      </c>
      <c r="H38" s="284">
        <f t="shared" si="9"/>
        <v>0</v>
      </c>
      <c r="I38" s="349">
        <f t="shared" si="7"/>
        <v>50</v>
      </c>
      <c r="J38" s="258"/>
      <c r="K38" s="110">
        <f t="shared" si="10"/>
        <v>0</v>
      </c>
    </row>
    <row r="39" spans="1:11" x14ac:dyDescent="0.2">
      <c r="A39" s="731" t="s">
        <v>18</v>
      </c>
      <c r="B39" s="732"/>
      <c r="C39" s="7">
        <f t="shared" ref="C39:H39" si="11">SUM(C28:C38)</f>
        <v>0</v>
      </c>
      <c r="D39" s="7">
        <f t="shared" si="11"/>
        <v>0</v>
      </c>
      <c r="E39" s="7">
        <f t="shared" si="11"/>
        <v>0</v>
      </c>
      <c r="F39" s="527">
        <f t="shared" si="11"/>
        <v>0</v>
      </c>
      <c r="G39" s="79">
        <f t="shared" si="11"/>
        <v>0</v>
      </c>
      <c r="H39" s="48">
        <f t="shared" si="11"/>
        <v>0</v>
      </c>
      <c r="I39" s="49">
        <f>I24-H39</f>
        <v>50</v>
      </c>
      <c r="J39" s="121"/>
      <c r="K39" s="15">
        <f>J39-B39</f>
        <v>0</v>
      </c>
    </row>
    <row r="40" spans="1:11" x14ac:dyDescent="0.2">
      <c r="A40" s="4"/>
      <c r="B40" s="121"/>
      <c r="C40" s="7"/>
      <c r="D40" s="7"/>
      <c r="E40" s="7"/>
      <c r="F40" s="8"/>
      <c r="G40" s="57" t="s">
        <v>46</v>
      </c>
      <c r="H40" s="64">
        <f>H39/I24%</f>
        <v>0</v>
      </c>
      <c r="I40" s="53">
        <f>I39/I24%</f>
        <v>100</v>
      </c>
      <c r="J40" s="121"/>
      <c r="K40" s="22"/>
    </row>
    <row r="42" spans="1:11" x14ac:dyDescent="0.2">
      <c r="A42" s="789" t="s">
        <v>276</v>
      </c>
      <c r="B42" s="789"/>
      <c r="C42" s="789"/>
      <c r="D42" s="789"/>
      <c r="E42" s="789"/>
      <c r="F42" s="789"/>
      <c r="G42" s="65">
        <f>I24+I4</f>
        <v>100</v>
      </c>
    </row>
    <row r="43" spans="1:11" x14ac:dyDescent="0.2">
      <c r="G43" s="32"/>
    </row>
    <row r="44" spans="1:11" x14ac:dyDescent="0.2">
      <c r="A44" s="784" t="s">
        <v>115</v>
      </c>
      <c r="B44" s="784"/>
      <c r="C44" s="784"/>
      <c r="D44" s="784"/>
      <c r="E44" s="784"/>
      <c r="F44" s="784"/>
      <c r="G44" s="65">
        <f>H39+H19</f>
        <v>0</v>
      </c>
    </row>
    <row r="45" spans="1:11" x14ac:dyDescent="0.2">
      <c r="G45" s="32"/>
    </row>
    <row r="46" spans="1:11" x14ac:dyDescent="0.2">
      <c r="A46" s="830" t="s">
        <v>113</v>
      </c>
      <c r="B46" s="830"/>
      <c r="C46" s="830"/>
      <c r="D46" s="830"/>
      <c r="E46" s="830"/>
      <c r="F46" s="830"/>
      <c r="G46" s="362">
        <f>G42-G44</f>
        <v>100</v>
      </c>
    </row>
    <row r="47" spans="1:11" x14ac:dyDescent="0.2">
      <c r="G47" s="32"/>
    </row>
    <row r="48" spans="1:11" x14ac:dyDescent="0.2">
      <c r="A48" s="748" t="s">
        <v>50</v>
      </c>
      <c r="B48" s="748"/>
      <c r="C48" s="748"/>
      <c r="D48" s="748"/>
      <c r="E48" s="748"/>
      <c r="F48" s="748"/>
      <c r="G48" s="66">
        <f>G44/G42%</f>
        <v>0</v>
      </c>
    </row>
    <row r="49" spans="1:8" x14ac:dyDescent="0.2">
      <c r="A49" s="73"/>
      <c r="B49" s="127"/>
      <c r="C49" s="73"/>
      <c r="D49" s="73"/>
      <c r="E49" s="73"/>
      <c r="F49" s="73"/>
      <c r="G49" s="66"/>
    </row>
    <row r="50" spans="1:8" x14ac:dyDescent="0.2">
      <c r="A50" s="68" t="s">
        <v>51</v>
      </c>
      <c r="B50" s="128"/>
      <c r="C50" s="68"/>
      <c r="D50" s="68"/>
      <c r="E50" s="68"/>
      <c r="F50" s="68"/>
      <c r="G50" s="260">
        <f>G46/G42%</f>
        <v>100</v>
      </c>
    </row>
    <row r="52" spans="1:8" x14ac:dyDescent="0.2">
      <c r="A52" s="831" t="s">
        <v>56</v>
      </c>
      <c r="B52" s="831"/>
      <c r="C52" s="831"/>
      <c r="D52" s="831"/>
      <c r="E52" s="831"/>
      <c r="F52" s="831"/>
      <c r="G52" s="261">
        <f>F39+F19</f>
        <v>0</v>
      </c>
    </row>
    <row r="54" spans="1:8" x14ac:dyDescent="0.2">
      <c r="A54" s="791" t="s">
        <v>57</v>
      </c>
      <c r="B54" s="791"/>
      <c r="C54" s="791"/>
      <c r="D54" s="791"/>
      <c r="E54" s="791"/>
      <c r="F54" s="791"/>
      <c r="G54" s="829">
        <f>G39+G19</f>
        <v>0</v>
      </c>
      <c r="H54" s="829"/>
    </row>
  </sheetData>
  <mergeCells count="27">
    <mergeCell ref="A39:B39"/>
    <mergeCell ref="B23:H23"/>
    <mergeCell ref="J23:K24"/>
    <mergeCell ref="B24:H24"/>
    <mergeCell ref="A25:A26"/>
    <mergeCell ref="B25:B26"/>
    <mergeCell ref="C25:E25"/>
    <mergeCell ref="F25:H25"/>
    <mergeCell ref="J25:J26"/>
    <mergeCell ref="A1:L1"/>
    <mergeCell ref="A2:K2"/>
    <mergeCell ref="A54:F54"/>
    <mergeCell ref="G54:H54"/>
    <mergeCell ref="A42:F42"/>
    <mergeCell ref="A44:F44"/>
    <mergeCell ref="A46:F46"/>
    <mergeCell ref="A48:F48"/>
    <mergeCell ref="A52:F52"/>
    <mergeCell ref="A19:B19"/>
    <mergeCell ref="B3:H3"/>
    <mergeCell ref="J3:K4"/>
    <mergeCell ref="B4:H4"/>
    <mergeCell ref="A5:A6"/>
    <mergeCell ref="B5:B6"/>
    <mergeCell ref="C5:E5"/>
    <mergeCell ref="F5:H5"/>
    <mergeCell ref="J5:J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ECE9C-C209-418B-AA05-0241FEED597D}">
  <dimension ref="A1:P114"/>
  <sheetViews>
    <sheetView workbookViewId="0">
      <selection activeCell="L4" sqref="L4"/>
    </sheetView>
  </sheetViews>
  <sheetFormatPr defaultRowHeight="12.75" x14ac:dyDescent="0.2"/>
  <cols>
    <col min="1" max="1" width="8.85546875" customWidth="1"/>
    <col min="2" max="2" width="7.85546875" style="123" customWidth="1"/>
    <col min="3" max="3" width="9.140625" customWidth="1"/>
    <col min="4" max="5" width="9" customWidth="1"/>
    <col min="7" max="7" width="13" customWidth="1"/>
    <col min="8" max="8" width="8" customWidth="1"/>
    <col min="9" max="9" width="8.28515625" customWidth="1"/>
    <col min="10" max="10" width="10" style="123" customWidth="1"/>
    <col min="11" max="11" width="6.85546875" customWidth="1"/>
    <col min="12" max="12" width="14.140625" style="71" customWidth="1"/>
    <col min="13" max="13" width="9.140625" style="282"/>
    <col min="14" max="14" width="9.140625" style="71"/>
  </cols>
  <sheetData>
    <row r="1" spans="1:14" ht="18" x14ac:dyDescent="0.2">
      <c r="A1" s="816" t="s">
        <v>232</v>
      </c>
      <c r="B1" s="816"/>
      <c r="C1" s="816"/>
      <c r="D1" s="816"/>
      <c r="E1" s="816"/>
      <c r="F1" s="816"/>
      <c r="G1" s="816"/>
      <c r="H1" s="816"/>
      <c r="I1" s="816"/>
      <c r="J1" s="816"/>
      <c r="K1" s="816"/>
      <c r="L1" s="816"/>
    </row>
    <row r="2" spans="1:14" ht="26.25" x14ac:dyDescent="0.2">
      <c r="A2" s="794" t="str">
        <f>GDSL!A2</f>
        <v>TAHUN 2026</v>
      </c>
      <c r="B2" s="794"/>
      <c r="C2" s="794"/>
      <c r="D2" s="794"/>
      <c r="E2" s="794"/>
      <c r="F2" s="794"/>
      <c r="G2" s="794"/>
      <c r="H2" s="794"/>
      <c r="I2" s="794"/>
      <c r="J2" s="794"/>
      <c r="K2" s="794"/>
    </row>
    <row r="3" spans="1:14" ht="15" x14ac:dyDescent="0.25">
      <c r="A3" s="93" t="s">
        <v>0</v>
      </c>
      <c r="B3" s="760" t="s">
        <v>40</v>
      </c>
      <c r="C3" s="761"/>
      <c r="D3" s="761"/>
      <c r="E3" s="761"/>
      <c r="F3" s="761"/>
      <c r="G3" s="761"/>
      <c r="H3" s="762"/>
      <c r="I3" s="70" t="s">
        <v>11</v>
      </c>
      <c r="J3" s="797" t="s">
        <v>15</v>
      </c>
      <c r="K3" s="798"/>
      <c r="L3" s="705">
        <v>46062</v>
      </c>
    </row>
    <row r="4" spans="1:14" ht="14.25" x14ac:dyDescent="0.2">
      <c r="A4" s="94" t="s">
        <v>1</v>
      </c>
      <c r="B4" s="817" t="s">
        <v>218</v>
      </c>
      <c r="C4" s="818"/>
      <c r="D4" s="818"/>
      <c r="E4" s="818"/>
      <c r="F4" s="818"/>
      <c r="G4" s="818"/>
      <c r="H4" s="819"/>
      <c r="I4" s="69">
        <v>100</v>
      </c>
      <c r="J4" s="799"/>
      <c r="K4" s="800"/>
    </row>
    <row r="5" spans="1:14" x14ac:dyDescent="0.2">
      <c r="A5" s="726" t="s">
        <v>3</v>
      </c>
      <c r="B5" s="834" t="s">
        <v>2</v>
      </c>
      <c r="C5" s="822" t="s">
        <v>19</v>
      </c>
      <c r="D5" s="823"/>
      <c r="E5" s="824"/>
      <c r="F5" s="825" t="s">
        <v>31</v>
      </c>
      <c r="G5" s="826"/>
      <c r="H5" s="827"/>
      <c r="I5" s="84" t="s">
        <v>12</v>
      </c>
      <c r="J5" s="801" t="s">
        <v>3</v>
      </c>
      <c r="K5" s="4" t="s">
        <v>13</v>
      </c>
    </row>
    <row r="6" spans="1:14" x14ac:dyDescent="0.2">
      <c r="A6" s="726"/>
      <c r="B6" s="834"/>
      <c r="C6" s="4" t="s">
        <v>30</v>
      </c>
      <c r="D6" s="4" t="s">
        <v>28</v>
      </c>
      <c r="E6" s="22"/>
      <c r="F6" s="4" t="s">
        <v>29</v>
      </c>
      <c r="G6" s="80" t="s">
        <v>32</v>
      </c>
      <c r="H6" s="67" t="s">
        <v>33</v>
      </c>
      <c r="I6" s="67" t="s">
        <v>33</v>
      </c>
      <c r="J6" s="802"/>
      <c r="K6" s="4" t="s">
        <v>14</v>
      </c>
    </row>
    <row r="7" spans="1:14" x14ac:dyDescent="0.2">
      <c r="A7" s="401" t="s">
        <v>182</v>
      </c>
      <c r="B7" s="402">
        <v>45931</v>
      </c>
      <c r="C7" s="477">
        <v>399600</v>
      </c>
      <c r="D7" s="477">
        <v>452880</v>
      </c>
      <c r="E7" s="477"/>
      <c r="F7" s="4"/>
      <c r="G7" s="4"/>
      <c r="H7" s="4"/>
      <c r="I7" s="12"/>
      <c r="J7" s="122"/>
      <c r="K7" s="4"/>
    </row>
    <row r="8" spans="1:14" s="71" customFormat="1" x14ac:dyDescent="0.2">
      <c r="A8" s="431"/>
      <c r="B8" s="432"/>
      <c r="C8" s="283"/>
      <c r="D8" s="283"/>
      <c r="E8" s="283"/>
      <c r="F8" s="528">
        <f>C8*20+D8*12</f>
        <v>0</v>
      </c>
      <c r="G8" s="284">
        <f>(C8*C$7+D8*D$7)</f>
        <v>0</v>
      </c>
      <c r="H8" s="284">
        <f>C8+D8+E8</f>
        <v>0</v>
      </c>
      <c r="I8" s="349">
        <f>I4-H8</f>
        <v>100</v>
      </c>
      <c r="J8" s="258"/>
      <c r="K8" s="110">
        <f>J8-A8</f>
        <v>0</v>
      </c>
      <c r="M8" s="282"/>
    </row>
    <row r="9" spans="1:14" s="71" customFormat="1" x14ac:dyDescent="0.2">
      <c r="A9" s="431"/>
      <c r="B9" s="435"/>
      <c r="C9" s="283"/>
      <c r="D9" s="283"/>
      <c r="E9" s="283"/>
      <c r="F9" s="528">
        <f t="shared" ref="F9:F17" si="0">C9*20+D9*12</f>
        <v>0</v>
      </c>
      <c r="G9" s="284">
        <f t="shared" ref="G9:G17" si="1">(C9*C$7+D9*D$7)</f>
        <v>0</v>
      </c>
      <c r="H9" s="284">
        <f>C9+D9+E9</f>
        <v>0</v>
      </c>
      <c r="I9" s="349">
        <f>I8-H9</f>
        <v>100</v>
      </c>
      <c r="J9" s="258"/>
      <c r="K9" s="110">
        <f>J9-A9</f>
        <v>0</v>
      </c>
      <c r="M9" s="282"/>
    </row>
    <row r="10" spans="1:14" s="71" customFormat="1" x14ac:dyDescent="0.2">
      <c r="A10" s="431"/>
      <c r="B10" s="435"/>
      <c r="C10" s="283"/>
      <c r="D10" s="283"/>
      <c r="E10" s="283"/>
      <c r="F10" s="528">
        <f t="shared" si="0"/>
        <v>0</v>
      </c>
      <c r="G10" s="284">
        <f t="shared" si="1"/>
        <v>0</v>
      </c>
      <c r="H10" s="284">
        <f t="shared" ref="H10:H17" si="2">C10+D10+E10</f>
        <v>0</v>
      </c>
      <c r="I10" s="349">
        <f t="shared" ref="I10:I17" si="3">I9-H10</f>
        <v>100</v>
      </c>
      <c r="J10" s="258"/>
      <c r="K10" s="110">
        <f t="shared" ref="K10:K17" si="4">J10-A10</f>
        <v>0</v>
      </c>
      <c r="M10" s="282"/>
    </row>
    <row r="11" spans="1:14" s="71" customFormat="1" x14ac:dyDescent="0.2">
      <c r="A11" s="431"/>
      <c r="B11" s="435"/>
      <c r="C11" s="283"/>
      <c r="D11" s="283"/>
      <c r="E11" s="283"/>
      <c r="F11" s="528">
        <f t="shared" si="0"/>
        <v>0</v>
      </c>
      <c r="G11" s="284">
        <f t="shared" si="1"/>
        <v>0</v>
      </c>
      <c r="H11" s="284">
        <f t="shared" si="2"/>
        <v>0</v>
      </c>
      <c r="I11" s="349">
        <f t="shared" si="3"/>
        <v>100</v>
      </c>
      <c r="J11" s="258"/>
      <c r="K11" s="110">
        <f t="shared" si="4"/>
        <v>0</v>
      </c>
      <c r="M11" s="282"/>
    </row>
    <row r="12" spans="1:14" s="71" customFormat="1" x14ac:dyDescent="0.2">
      <c r="A12" s="431"/>
      <c r="B12" s="435"/>
      <c r="C12" s="283"/>
      <c r="D12" s="283"/>
      <c r="E12" s="283"/>
      <c r="F12" s="528">
        <f t="shared" si="0"/>
        <v>0</v>
      </c>
      <c r="G12" s="284">
        <f t="shared" si="1"/>
        <v>0</v>
      </c>
      <c r="H12" s="284">
        <f t="shared" si="2"/>
        <v>0</v>
      </c>
      <c r="I12" s="349">
        <f t="shared" si="3"/>
        <v>100</v>
      </c>
      <c r="J12" s="258"/>
      <c r="K12" s="110">
        <f t="shared" si="4"/>
        <v>0</v>
      </c>
      <c r="M12" s="282"/>
    </row>
    <row r="13" spans="1:14" s="71" customFormat="1" x14ac:dyDescent="0.2">
      <c r="A13" s="431"/>
      <c r="B13" s="435"/>
      <c r="C13" s="283"/>
      <c r="D13" s="283"/>
      <c r="E13" s="283"/>
      <c r="F13" s="528">
        <f t="shared" si="0"/>
        <v>0</v>
      </c>
      <c r="G13" s="284">
        <f t="shared" si="1"/>
        <v>0</v>
      </c>
      <c r="H13" s="284">
        <f t="shared" si="2"/>
        <v>0</v>
      </c>
      <c r="I13" s="349">
        <f t="shared" si="3"/>
        <v>100</v>
      </c>
      <c r="J13" s="258"/>
      <c r="K13" s="110">
        <f t="shared" si="4"/>
        <v>0</v>
      </c>
      <c r="M13" s="282"/>
      <c r="N13" s="114"/>
    </row>
    <row r="14" spans="1:14" s="71" customFormat="1" x14ac:dyDescent="0.2">
      <c r="A14" s="431"/>
      <c r="B14" s="435"/>
      <c r="C14" s="283"/>
      <c r="D14" s="283"/>
      <c r="E14" s="283"/>
      <c r="F14" s="528">
        <f t="shared" si="0"/>
        <v>0</v>
      </c>
      <c r="G14" s="284">
        <f t="shared" si="1"/>
        <v>0</v>
      </c>
      <c r="H14" s="284">
        <f t="shared" si="2"/>
        <v>0</v>
      </c>
      <c r="I14" s="349">
        <f t="shared" si="3"/>
        <v>100</v>
      </c>
      <c r="J14" s="258"/>
      <c r="K14" s="110">
        <f t="shared" si="4"/>
        <v>0</v>
      </c>
      <c r="M14" s="282"/>
    </row>
    <row r="15" spans="1:14" s="71" customFormat="1" x14ac:dyDescent="0.2">
      <c r="A15" s="431"/>
      <c r="B15" s="435"/>
      <c r="C15" s="283"/>
      <c r="D15" s="283"/>
      <c r="E15" s="283"/>
      <c r="F15" s="528">
        <f t="shared" si="0"/>
        <v>0</v>
      </c>
      <c r="G15" s="284">
        <f t="shared" si="1"/>
        <v>0</v>
      </c>
      <c r="H15" s="284">
        <f t="shared" si="2"/>
        <v>0</v>
      </c>
      <c r="I15" s="349">
        <f t="shared" si="3"/>
        <v>100</v>
      </c>
      <c r="J15" s="258"/>
      <c r="K15" s="110">
        <f t="shared" si="4"/>
        <v>0</v>
      </c>
      <c r="M15" s="282"/>
    </row>
    <row r="16" spans="1:14" s="71" customFormat="1" x14ac:dyDescent="0.2">
      <c r="A16" s="431"/>
      <c r="B16" s="435"/>
      <c r="C16" s="283"/>
      <c r="D16" s="283"/>
      <c r="E16" s="283"/>
      <c r="F16" s="528">
        <f t="shared" si="0"/>
        <v>0</v>
      </c>
      <c r="G16" s="284">
        <f t="shared" si="1"/>
        <v>0</v>
      </c>
      <c r="H16" s="284">
        <f t="shared" si="2"/>
        <v>0</v>
      </c>
      <c r="I16" s="349">
        <f t="shared" si="3"/>
        <v>100</v>
      </c>
      <c r="J16" s="258"/>
      <c r="K16" s="110">
        <f t="shared" si="4"/>
        <v>0</v>
      </c>
      <c r="M16" s="282"/>
    </row>
    <row r="17" spans="1:14" s="71" customFormat="1" x14ac:dyDescent="0.2">
      <c r="A17" s="431"/>
      <c r="B17" s="435"/>
      <c r="C17" s="283"/>
      <c r="D17" s="283"/>
      <c r="E17" s="283"/>
      <c r="F17" s="528">
        <f t="shared" si="0"/>
        <v>0</v>
      </c>
      <c r="G17" s="284">
        <f t="shared" si="1"/>
        <v>0</v>
      </c>
      <c r="H17" s="284">
        <f t="shared" si="2"/>
        <v>0</v>
      </c>
      <c r="I17" s="349">
        <f t="shared" si="3"/>
        <v>100</v>
      </c>
      <c r="J17" s="258"/>
      <c r="K17" s="110">
        <f t="shared" si="4"/>
        <v>0</v>
      </c>
      <c r="M17" s="282"/>
    </row>
    <row r="18" spans="1:14" x14ac:dyDescent="0.2">
      <c r="A18" s="731" t="s">
        <v>18</v>
      </c>
      <c r="B18" s="732"/>
      <c r="C18" s="272">
        <f t="shared" ref="C18:H18" si="5">SUM(C8:C17)</f>
        <v>0</v>
      </c>
      <c r="D18" s="272">
        <f t="shared" si="5"/>
        <v>0</v>
      </c>
      <c r="E18" s="272">
        <f t="shared" si="5"/>
        <v>0</v>
      </c>
      <c r="F18" s="525">
        <f t="shared" si="5"/>
        <v>0</v>
      </c>
      <c r="G18" s="79">
        <f t="shared" si="5"/>
        <v>0</v>
      </c>
      <c r="H18" s="48">
        <f t="shared" si="5"/>
        <v>0</v>
      </c>
      <c r="I18" s="287">
        <f>I4-H18</f>
        <v>100</v>
      </c>
      <c r="J18" s="121"/>
      <c r="K18" s="22"/>
    </row>
    <row r="19" spans="1:14" x14ac:dyDescent="0.2">
      <c r="A19" s="4"/>
      <c r="B19" s="121"/>
      <c r="C19" s="7"/>
      <c r="D19" s="7"/>
      <c r="E19" s="7"/>
      <c r="F19" s="8"/>
      <c r="G19" s="57" t="s">
        <v>46</v>
      </c>
      <c r="H19" s="64">
        <f>H18/I4%</f>
        <v>0</v>
      </c>
      <c r="I19" s="53">
        <f>I18/I4%</f>
        <v>100</v>
      </c>
      <c r="J19" s="121"/>
      <c r="K19" s="22"/>
    </row>
    <row r="20" spans="1:14" x14ac:dyDescent="0.2">
      <c r="A20" s="16"/>
      <c r="B20" s="125"/>
      <c r="C20" s="17"/>
      <c r="D20" s="17"/>
      <c r="E20" s="17"/>
      <c r="F20" s="18"/>
      <c r="G20" s="100"/>
      <c r="H20" s="101"/>
      <c r="I20" s="109"/>
      <c r="J20" s="125"/>
      <c r="K20" s="30"/>
    </row>
    <row r="21" spans="1:14" x14ac:dyDescent="0.2">
      <c r="A21" s="16"/>
      <c r="B21" s="125"/>
      <c r="C21" s="17"/>
      <c r="D21" s="17"/>
      <c r="E21" s="17"/>
      <c r="F21" s="18"/>
      <c r="G21" s="18"/>
      <c r="H21" s="18"/>
      <c r="I21" s="19"/>
      <c r="J21" s="125"/>
      <c r="K21" s="30"/>
    </row>
    <row r="22" spans="1:14" ht="15" x14ac:dyDescent="0.25">
      <c r="A22" s="93" t="s">
        <v>0</v>
      </c>
      <c r="B22" s="832" t="s">
        <v>40</v>
      </c>
      <c r="C22" s="832"/>
      <c r="D22" s="832"/>
      <c r="E22" s="832"/>
      <c r="F22" s="832"/>
      <c r="G22" s="832"/>
      <c r="H22" s="832"/>
      <c r="I22" s="70" t="s">
        <v>11</v>
      </c>
      <c r="J22" s="739" t="s">
        <v>15</v>
      </c>
      <c r="K22" s="739"/>
      <c r="L22" s="335"/>
      <c r="M22" s="335"/>
      <c r="N22" s="335"/>
    </row>
    <row r="23" spans="1:14" ht="14.25" x14ac:dyDescent="0.2">
      <c r="A23" s="94" t="s">
        <v>1</v>
      </c>
      <c r="B23" s="833" t="s">
        <v>41</v>
      </c>
      <c r="C23" s="833"/>
      <c r="D23" s="833"/>
      <c r="E23" s="833"/>
      <c r="F23" s="833"/>
      <c r="G23" s="833"/>
      <c r="H23" s="833"/>
      <c r="I23" s="69">
        <v>300</v>
      </c>
      <c r="J23" s="739"/>
      <c r="K23" s="739"/>
    </row>
    <row r="24" spans="1:14" x14ac:dyDescent="0.2">
      <c r="A24" s="726" t="s">
        <v>3</v>
      </c>
      <c r="B24" s="834" t="s">
        <v>2</v>
      </c>
      <c r="C24" s="822" t="s">
        <v>19</v>
      </c>
      <c r="D24" s="823"/>
      <c r="E24" s="824"/>
      <c r="F24" s="825" t="s">
        <v>31</v>
      </c>
      <c r="G24" s="826"/>
      <c r="H24" s="827"/>
      <c r="I24" s="84" t="s">
        <v>12</v>
      </c>
      <c r="J24" s="726" t="s">
        <v>3</v>
      </c>
      <c r="K24" s="4" t="s">
        <v>13</v>
      </c>
    </row>
    <row r="25" spans="1:14" x14ac:dyDescent="0.2">
      <c r="A25" s="726"/>
      <c r="B25" s="834"/>
      <c r="C25" s="4" t="s">
        <v>30</v>
      </c>
      <c r="D25" s="4" t="s">
        <v>28</v>
      </c>
      <c r="E25" s="22" t="s">
        <v>132</v>
      </c>
      <c r="F25" s="4" t="s">
        <v>29</v>
      </c>
      <c r="G25" s="80" t="s">
        <v>32</v>
      </c>
      <c r="H25" s="67" t="s">
        <v>33</v>
      </c>
      <c r="I25" s="67" t="s">
        <v>33</v>
      </c>
      <c r="J25" s="726"/>
      <c r="K25" s="4" t="s">
        <v>14</v>
      </c>
    </row>
    <row r="26" spans="1:14" x14ac:dyDescent="0.2">
      <c r="A26" s="401" t="s">
        <v>182</v>
      </c>
      <c r="B26" s="402">
        <v>45931</v>
      </c>
      <c r="C26" s="477">
        <v>399600</v>
      </c>
      <c r="D26" s="477">
        <v>452880</v>
      </c>
      <c r="E26" s="477"/>
      <c r="F26" s="4"/>
      <c r="G26" s="4"/>
      <c r="H26" s="4"/>
      <c r="I26" s="12"/>
      <c r="J26" s="122"/>
      <c r="K26" s="4"/>
    </row>
    <row r="27" spans="1:14" s="71" customFormat="1" x14ac:dyDescent="0.2">
      <c r="A27" s="431"/>
      <c r="B27" s="435"/>
      <c r="C27" s="283"/>
      <c r="D27" s="283"/>
      <c r="E27" s="283"/>
      <c r="F27" s="528">
        <f>C27*20+D27*12</f>
        <v>0</v>
      </c>
      <c r="G27" s="284">
        <f>(C27*C$26+D27*D$26 )</f>
        <v>0</v>
      </c>
      <c r="H27" s="284">
        <f t="shared" ref="H27:H35" si="6">C27+D27+E27</f>
        <v>0</v>
      </c>
      <c r="I27" s="349">
        <f>I23-H27</f>
        <v>300</v>
      </c>
      <c r="J27" s="258"/>
      <c r="K27" s="110">
        <f t="shared" ref="K27:K35" si="7">J27-A27</f>
        <v>0</v>
      </c>
      <c r="M27" s="282"/>
    </row>
    <row r="28" spans="1:14" s="71" customFormat="1" x14ac:dyDescent="0.2">
      <c r="A28" s="431"/>
      <c r="B28" s="435"/>
      <c r="C28" s="283"/>
      <c r="D28" s="283"/>
      <c r="E28" s="283"/>
      <c r="F28" s="528">
        <f t="shared" ref="F28:F37" si="8">C28*20+D28*12</f>
        <v>0</v>
      </c>
      <c r="G28" s="284">
        <f t="shared" ref="G28:G37" si="9">(C28*C$26+D28*D$26 )</f>
        <v>0</v>
      </c>
      <c r="H28" s="284">
        <f t="shared" si="6"/>
        <v>0</v>
      </c>
      <c r="I28" s="349">
        <f t="shared" ref="I28:I33" si="10">I27-H28</f>
        <v>300</v>
      </c>
      <c r="J28" s="258"/>
      <c r="K28" s="110">
        <f t="shared" si="7"/>
        <v>0</v>
      </c>
      <c r="M28" s="282"/>
    </row>
    <row r="29" spans="1:14" s="71" customFormat="1" x14ac:dyDescent="0.2">
      <c r="A29" s="431"/>
      <c r="B29" s="438"/>
      <c r="C29" s="283"/>
      <c r="D29" s="283"/>
      <c r="E29" s="283"/>
      <c r="F29" s="528">
        <f t="shared" si="8"/>
        <v>0</v>
      </c>
      <c r="G29" s="284">
        <f t="shared" si="9"/>
        <v>0</v>
      </c>
      <c r="H29" s="284">
        <f t="shared" si="6"/>
        <v>0</v>
      </c>
      <c r="I29" s="349">
        <f t="shared" si="10"/>
        <v>300</v>
      </c>
      <c r="J29" s="258"/>
      <c r="K29" s="110">
        <f t="shared" si="7"/>
        <v>0</v>
      </c>
      <c r="M29" s="282"/>
    </row>
    <row r="30" spans="1:14" s="71" customFormat="1" x14ac:dyDescent="0.2">
      <c r="A30" s="431"/>
      <c r="B30" s="435"/>
      <c r="C30" s="283"/>
      <c r="D30" s="283"/>
      <c r="E30" s="283"/>
      <c r="F30" s="528">
        <f t="shared" si="8"/>
        <v>0</v>
      </c>
      <c r="G30" s="284">
        <f t="shared" si="9"/>
        <v>0</v>
      </c>
      <c r="H30" s="284">
        <f t="shared" si="6"/>
        <v>0</v>
      </c>
      <c r="I30" s="349">
        <f t="shared" si="10"/>
        <v>300</v>
      </c>
      <c r="J30" s="258"/>
      <c r="K30" s="110">
        <f t="shared" si="7"/>
        <v>0</v>
      </c>
      <c r="M30" s="282"/>
    </row>
    <row r="31" spans="1:14" s="71" customFormat="1" x14ac:dyDescent="0.2">
      <c r="A31" s="431"/>
      <c r="B31" s="112"/>
      <c r="C31" s="283"/>
      <c r="D31" s="283"/>
      <c r="E31" s="283"/>
      <c r="F31" s="528">
        <f t="shared" si="8"/>
        <v>0</v>
      </c>
      <c r="G31" s="284">
        <f t="shared" si="9"/>
        <v>0</v>
      </c>
      <c r="H31" s="284">
        <f t="shared" si="6"/>
        <v>0</v>
      </c>
      <c r="I31" s="350">
        <f t="shared" si="10"/>
        <v>300</v>
      </c>
      <c r="J31" s="258"/>
      <c r="K31" s="110">
        <f t="shared" si="7"/>
        <v>0</v>
      </c>
      <c r="M31" s="282"/>
    </row>
    <row r="32" spans="1:14" s="71" customFormat="1" x14ac:dyDescent="0.2">
      <c r="A32" s="431"/>
      <c r="B32" s="435"/>
      <c r="C32" s="283"/>
      <c r="D32" s="283"/>
      <c r="E32" s="283"/>
      <c r="F32" s="528">
        <f t="shared" si="8"/>
        <v>0</v>
      </c>
      <c r="G32" s="284">
        <f t="shared" si="9"/>
        <v>0</v>
      </c>
      <c r="H32" s="284">
        <f t="shared" si="6"/>
        <v>0</v>
      </c>
      <c r="I32" s="350">
        <f t="shared" si="10"/>
        <v>300</v>
      </c>
      <c r="J32" s="258"/>
      <c r="K32" s="110">
        <f t="shared" si="7"/>
        <v>0</v>
      </c>
      <c r="M32" s="282"/>
    </row>
    <row r="33" spans="1:13" s="71" customFormat="1" x14ac:dyDescent="0.2">
      <c r="A33" s="431"/>
      <c r="B33" s="435"/>
      <c r="C33" s="283"/>
      <c r="D33" s="283"/>
      <c r="E33" s="283"/>
      <c r="F33" s="528">
        <f t="shared" si="8"/>
        <v>0</v>
      </c>
      <c r="G33" s="284">
        <f t="shared" si="9"/>
        <v>0</v>
      </c>
      <c r="H33" s="284">
        <f t="shared" si="6"/>
        <v>0</v>
      </c>
      <c r="I33" s="350">
        <f t="shared" si="10"/>
        <v>300</v>
      </c>
      <c r="J33" s="258"/>
      <c r="K33" s="110">
        <f t="shared" si="7"/>
        <v>0</v>
      </c>
      <c r="M33" s="282"/>
    </row>
    <row r="34" spans="1:13" s="71" customFormat="1" x14ac:dyDescent="0.2">
      <c r="A34" s="431"/>
      <c r="B34" s="435"/>
      <c r="C34" s="283"/>
      <c r="D34" s="283"/>
      <c r="E34" s="283"/>
      <c r="F34" s="528">
        <f t="shared" si="8"/>
        <v>0</v>
      </c>
      <c r="G34" s="284">
        <f t="shared" si="9"/>
        <v>0</v>
      </c>
      <c r="H34" s="284">
        <f t="shared" si="6"/>
        <v>0</v>
      </c>
      <c r="I34" s="350">
        <f>I33-H34</f>
        <v>300</v>
      </c>
      <c r="J34" s="258"/>
      <c r="K34" s="110">
        <f t="shared" si="7"/>
        <v>0</v>
      </c>
      <c r="M34" s="282"/>
    </row>
    <row r="35" spans="1:13" s="71" customFormat="1" x14ac:dyDescent="0.2">
      <c r="A35" s="431"/>
      <c r="B35" s="435"/>
      <c r="C35" s="283"/>
      <c r="D35" s="283"/>
      <c r="E35" s="283"/>
      <c r="F35" s="528">
        <f t="shared" si="8"/>
        <v>0</v>
      </c>
      <c r="G35" s="284">
        <f t="shared" si="9"/>
        <v>0</v>
      </c>
      <c r="H35" s="284">
        <f t="shared" si="6"/>
        <v>0</v>
      </c>
      <c r="I35" s="350">
        <f>I34-H35</f>
        <v>300</v>
      </c>
      <c r="J35" s="258"/>
      <c r="K35" s="110">
        <f t="shared" si="7"/>
        <v>0</v>
      </c>
      <c r="M35" s="282"/>
    </row>
    <row r="36" spans="1:13" s="71" customFormat="1" x14ac:dyDescent="0.2">
      <c r="A36" s="431"/>
      <c r="B36" s="435"/>
      <c r="C36" s="283"/>
      <c r="D36" s="283"/>
      <c r="E36" s="283"/>
      <c r="F36" s="528">
        <f t="shared" si="8"/>
        <v>0</v>
      </c>
      <c r="G36" s="284">
        <f t="shared" si="9"/>
        <v>0</v>
      </c>
      <c r="H36" s="284">
        <f>C36+D36+E36</f>
        <v>0</v>
      </c>
      <c r="I36" s="573">
        <f>I35-H36</f>
        <v>300</v>
      </c>
      <c r="J36" s="258"/>
      <c r="K36" s="110">
        <f>J36-A36</f>
        <v>0</v>
      </c>
      <c r="M36" s="282"/>
    </row>
    <row r="37" spans="1:13" s="71" customFormat="1" x14ac:dyDescent="0.2">
      <c r="A37" s="431"/>
      <c r="B37" s="435"/>
      <c r="C37" s="283"/>
      <c r="D37" s="283"/>
      <c r="E37" s="283"/>
      <c r="F37" s="528">
        <f t="shared" si="8"/>
        <v>0</v>
      </c>
      <c r="G37" s="284">
        <f t="shared" si="9"/>
        <v>0</v>
      </c>
      <c r="H37" s="284">
        <f>C37+D37+E37</f>
        <v>0</v>
      </c>
      <c r="I37" s="573">
        <f>I36-H37</f>
        <v>300</v>
      </c>
      <c r="J37" s="539"/>
      <c r="K37" s="110">
        <f>J37-A37</f>
        <v>0</v>
      </c>
      <c r="M37" s="282"/>
    </row>
    <row r="38" spans="1:13" x14ac:dyDescent="0.2">
      <c r="A38" s="731" t="s">
        <v>18</v>
      </c>
      <c r="B38" s="732"/>
      <c r="C38" s="272">
        <f t="shared" ref="C38:H38" si="11">SUM(C27:C37)</f>
        <v>0</v>
      </c>
      <c r="D38" s="272">
        <f t="shared" si="11"/>
        <v>0</v>
      </c>
      <c r="E38" s="272">
        <f t="shared" si="11"/>
        <v>0</v>
      </c>
      <c r="F38" s="525">
        <f t="shared" si="11"/>
        <v>0</v>
      </c>
      <c r="G38" s="79">
        <f t="shared" si="11"/>
        <v>0</v>
      </c>
      <c r="H38" s="48">
        <f t="shared" si="11"/>
        <v>0</v>
      </c>
      <c r="I38" s="63">
        <f>I23-H38</f>
        <v>300</v>
      </c>
      <c r="J38" s="121"/>
      <c r="K38" s="22"/>
    </row>
    <row r="39" spans="1:13" x14ac:dyDescent="0.2">
      <c r="A39" s="4"/>
      <c r="B39" s="121"/>
      <c r="C39" s="7"/>
      <c r="D39" s="7"/>
      <c r="E39" s="7"/>
      <c r="F39" s="8"/>
      <c r="G39" s="57" t="s">
        <v>46</v>
      </c>
      <c r="H39" s="64">
        <f>H38/I23%</f>
        <v>0</v>
      </c>
      <c r="I39" s="53">
        <f>I38/I23%</f>
        <v>100</v>
      </c>
      <c r="J39" s="121"/>
      <c r="K39" s="22"/>
    </row>
    <row r="40" spans="1:13" x14ac:dyDescent="0.2">
      <c r="A40" s="16"/>
      <c r="B40" s="125"/>
      <c r="C40" s="17"/>
      <c r="D40" s="17"/>
      <c r="E40" s="17"/>
      <c r="F40" s="18"/>
      <c r="G40" s="100"/>
      <c r="H40" s="101"/>
      <c r="I40" s="109"/>
      <c r="J40" s="125"/>
      <c r="K40" s="30"/>
    </row>
    <row r="41" spans="1:13" ht="15" x14ac:dyDescent="0.25">
      <c r="A41" s="93" t="s">
        <v>0</v>
      </c>
      <c r="B41" s="760" t="s">
        <v>40</v>
      </c>
      <c r="C41" s="761"/>
      <c r="D41" s="761"/>
      <c r="E41" s="761"/>
      <c r="F41" s="761"/>
      <c r="G41" s="761"/>
      <c r="H41" s="762"/>
      <c r="I41" s="70" t="s">
        <v>11</v>
      </c>
      <c r="J41" s="797" t="s">
        <v>15</v>
      </c>
      <c r="K41" s="798"/>
    </row>
    <row r="42" spans="1:13" ht="14.25" x14ac:dyDescent="0.2">
      <c r="A42" s="94" t="s">
        <v>1</v>
      </c>
      <c r="B42" s="817" t="s">
        <v>269</v>
      </c>
      <c r="C42" s="818"/>
      <c r="D42" s="818"/>
      <c r="E42" s="818"/>
      <c r="F42" s="818"/>
      <c r="G42" s="818"/>
      <c r="H42" s="819"/>
      <c r="I42" s="69">
        <v>100</v>
      </c>
      <c r="J42" s="799"/>
      <c r="K42" s="800"/>
    </row>
    <row r="43" spans="1:13" x14ac:dyDescent="0.2">
      <c r="A43" s="726" t="s">
        <v>3</v>
      </c>
      <c r="B43" s="834" t="s">
        <v>2</v>
      </c>
      <c r="C43" s="822" t="s">
        <v>19</v>
      </c>
      <c r="D43" s="823"/>
      <c r="E43" s="824"/>
      <c r="F43" s="825" t="s">
        <v>31</v>
      </c>
      <c r="G43" s="826"/>
      <c r="H43" s="827"/>
      <c r="I43" s="84" t="s">
        <v>12</v>
      </c>
      <c r="J43" s="801" t="s">
        <v>3</v>
      </c>
      <c r="K43" s="4" t="s">
        <v>13</v>
      </c>
    </row>
    <row r="44" spans="1:13" x14ac:dyDescent="0.2">
      <c r="A44" s="726"/>
      <c r="B44" s="834"/>
      <c r="C44" s="4" t="s">
        <v>30</v>
      </c>
      <c r="D44" s="4" t="s">
        <v>28</v>
      </c>
      <c r="E44" s="22"/>
      <c r="F44" s="4" t="s">
        <v>29</v>
      </c>
      <c r="G44" s="80" t="s">
        <v>32</v>
      </c>
      <c r="H44" s="67" t="s">
        <v>33</v>
      </c>
      <c r="I44" s="67" t="s">
        <v>33</v>
      </c>
      <c r="J44" s="802"/>
      <c r="K44" s="4" t="s">
        <v>14</v>
      </c>
    </row>
    <row r="45" spans="1:13" x14ac:dyDescent="0.2">
      <c r="A45" s="401" t="s">
        <v>182</v>
      </c>
      <c r="B45" s="402">
        <v>45931</v>
      </c>
      <c r="C45" s="477">
        <v>399600</v>
      </c>
      <c r="D45" s="477">
        <v>452880</v>
      </c>
      <c r="E45" s="477"/>
      <c r="F45" s="4"/>
      <c r="G45" s="4"/>
      <c r="H45" s="4"/>
      <c r="I45" s="12"/>
      <c r="J45" s="122"/>
      <c r="K45" s="4"/>
    </row>
    <row r="46" spans="1:13" x14ac:dyDescent="0.2">
      <c r="A46" s="604"/>
      <c r="B46" s="432"/>
      <c r="C46" s="283"/>
      <c r="D46" s="283"/>
      <c r="E46" s="283"/>
      <c r="F46" s="528">
        <f>C46*20+D46*12</f>
        <v>0</v>
      </c>
      <c r="G46" s="284">
        <f>(C46*C$45+D46*D$45)</f>
        <v>0</v>
      </c>
      <c r="H46" s="284">
        <f t="shared" ref="H46:H52" si="12">C46+D46+E46</f>
        <v>0</v>
      </c>
      <c r="I46" s="349">
        <f>I42-H46</f>
        <v>100</v>
      </c>
      <c r="J46" s="258"/>
      <c r="K46" s="110">
        <f t="shared" ref="K46:K52" si="13">J46-A46</f>
        <v>0</v>
      </c>
    </row>
    <row r="47" spans="1:13" x14ac:dyDescent="0.2">
      <c r="A47" s="431"/>
      <c r="B47" s="435"/>
      <c r="C47" s="283"/>
      <c r="D47" s="283"/>
      <c r="E47" s="283"/>
      <c r="F47" s="528">
        <f t="shared" ref="F47:F52" si="14">C47*20+D47*12</f>
        <v>0</v>
      </c>
      <c r="G47" s="284">
        <f t="shared" ref="G47:G52" si="15">(C47*C$45+D47*D$45)</f>
        <v>0</v>
      </c>
      <c r="H47" s="284">
        <f t="shared" si="12"/>
        <v>0</v>
      </c>
      <c r="I47" s="349">
        <f t="shared" ref="I47:I52" si="16">I46-H47</f>
        <v>100</v>
      </c>
      <c r="J47" s="258"/>
      <c r="K47" s="110">
        <f t="shared" si="13"/>
        <v>0</v>
      </c>
    </row>
    <row r="48" spans="1:13" x14ac:dyDescent="0.2">
      <c r="A48" s="431"/>
      <c r="B48" s="435"/>
      <c r="C48" s="283"/>
      <c r="D48" s="283"/>
      <c r="E48" s="283"/>
      <c r="F48" s="528">
        <f t="shared" si="14"/>
        <v>0</v>
      </c>
      <c r="G48" s="284">
        <f t="shared" si="15"/>
        <v>0</v>
      </c>
      <c r="H48" s="284">
        <f t="shared" si="12"/>
        <v>0</v>
      </c>
      <c r="I48" s="349">
        <f t="shared" si="16"/>
        <v>100</v>
      </c>
      <c r="J48" s="258"/>
      <c r="K48" s="110">
        <f t="shared" si="13"/>
        <v>0</v>
      </c>
    </row>
    <row r="49" spans="1:11" x14ac:dyDescent="0.2">
      <c r="A49" s="431"/>
      <c r="B49" s="435"/>
      <c r="C49" s="283"/>
      <c r="D49" s="283"/>
      <c r="E49" s="283"/>
      <c r="F49" s="528">
        <f t="shared" si="14"/>
        <v>0</v>
      </c>
      <c r="G49" s="284">
        <f t="shared" si="15"/>
        <v>0</v>
      </c>
      <c r="H49" s="284">
        <f t="shared" si="12"/>
        <v>0</v>
      </c>
      <c r="I49" s="349">
        <f t="shared" si="16"/>
        <v>100</v>
      </c>
      <c r="J49" s="258"/>
      <c r="K49" s="110">
        <f t="shared" si="13"/>
        <v>0</v>
      </c>
    </row>
    <row r="50" spans="1:11" x14ac:dyDescent="0.2">
      <c r="A50" s="431"/>
      <c r="B50" s="435"/>
      <c r="C50" s="283"/>
      <c r="D50" s="283"/>
      <c r="E50" s="283"/>
      <c r="F50" s="528">
        <f t="shared" si="14"/>
        <v>0</v>
      </c>
      <c r="G50" s="284">
        <f t="shared" si="15"/>
        <v>0</v>
      </c>
      <c r="H50" s="284">
        <f t="shared" si="12"/>
        <v>0</v>
      </c>
      <c r="I50" s="349">
        <f t="shared" si="16"/>
        <v>100</v>
      </c>
      <c r="J50" s="258"/>
      <c r="K50" s="110">
        <f t="shared" si="13"/>
        <v>0</v>
      </c>
    </row>
    <row r="51" spans="1:11" x14ac:dyDescent="0.2">
      <c r="A51" s="431"/>
      <c r="B51" s="435"/>
      <c r="C51" s="283"/>
      <c r="D51" s="283"/>
      <c r="E51" s="283"/>
      <c r="F51" s="528">
        <f t="shared" si="14"/>
        <v>0</v>
      </c>
      <c r="G51" s="284">
        <f t="shared" si="15"/>
        <v>0</v>
      </c>
      <c r="H51" s="284">
        <f t="shared" si="12"/>
        <v>0</v>
      </c>
      <c r="I51" s="349">
        <f t="shared" si="16"/>
        <v>100</v>
      </c>
      <c r="J51" s="258"/>
      <c r="K51" s="110">
        <f t="shared" si="13"/>
        <v>0</v>
      </c>
    </row>
    <row r="52" spans="1:11" x14ac:dyDescent="0.2">
      <c r="A52" s="431"/>
      <c r="B52" s="435"/>
      <c r="C52" s="283"/>
      <c r="D52" s="283"/>
      <c r="E52" s="283"/>
      <c r="F52" s="528">
        <f t="shared" si="14"/>
        <v>0</v>
      </c>
      <c r="G52" s="284">
        <f t="shared" si="15"/>
        <v>0</v>
      </c>
      <c r="H52" s="284">
        <f t="shared" si="12"/>
        <v>0</v>
      </c>
      <c r="I52" s="349">
        <f t="shared" si="16"/>
        <v>100</v>
      </c>
      <c r="J52" s="258"/>
      <c r="K52" s="110">
        <f t="shared" si="13"/>
        <v>0</v>
      </c>
    </row>
    <row r="53" spans="1:11" x14ac:dyDescent="0.2">
      <c r="A53" s="731" t="s">
        <v>18</v>
      </c>
      <c r="B53" s="732"/>
      <c r="C53" s="272">
        <f t="shared" ref="C53:H53" si="17">SUM(C46:C52)</f>
        <v>0</v>
      </c>
      <c r="D53" s="272">
        <f t="shared" si="17"/>
        <v>0</v>
      </c>
      <c r="E53" s="272">
        <f t="shared" si="17"/>
        <v>0</v>
      </c>
      <c r="F53" s="525">
        <f t="shared" si="17"/>
        <v>0</v>
      </c>
      <c r="G53" s="79">
        <f t="shared" si="17"/>
        <v>0</v>
      </c>
      <c r="H53" s="48">
        <f t="shared" si="17"/>
        <v>0</v>
      </c>
      <c r="I53" s="287">
        <f>I42-H53</f>
        <v>100</v>
      </c>
      <c r="J53" s="121"/>
      <c r="K53" s="22"/>
    </row>
    <row r="54" spans="1:11" x14ac:dyDescent="0.2">
      <c r="A54" s="4"/>
      <c r="B54" s="121"/>
      <c r="C54" s="7"/>
      <c r="D54" s="7"/>
      <c r="E54" s="7"/>
      <c r="F54" s="8"/>
      <c r="G54" s="57" t="s">
        <v>46</v>
      </c>
      <c r="H54" s="64">
        <f>H53/I42%</f>
        <v>0</v>
      </c>
      <c r="I54" s="53">
        <f>I53/I42%</f>
        <v>100</v>
      </c>
      <c r="J54" s="121"/>
      <c r="K54" s="22"/>
    </row>
    <row r="57" spans="1:11" ht="15" x14ac:dyDescent="0.25">
      <c r="A57" s="93" t="s">
        <v>0</v>
      </c>
      <c r="B57" s="760" t="s">
        <v>40</v>
      </c>
      <c r="C57" s="761"/>
      <c r="D57" s="761"/>
      <c r="E57" s="761"/>
      <c r="F57" s="761"/>
      <c r="G57" s="761"/>
      <c r="H57" s="762"/>
      <c r="I57" s="70" t="s">
        <v>11</v>
      </c>
      <c r="J57" s="797" t="s">
        <v>15</v>
      </c>
      <c r="K57" s="798"/>
    </row>
    <row r="58" spans="1:11" ht="14.25" x14ac:dyDescent="0.2">
      <c r="A58" s="94" t="s">
        <v>1</v>
      </c>
      <c r="B58" s="817" t="s">
        <v>280</v>
      </c>
      <c r="C58" s="818"/>
      <c r="D58" s="818"/>
      <c r="E58" s="818"/>
      <c r="F58" s="818"/>
      <c r="G58" s="818"/>
      <c r="H58" s="819"/>
      <c r="I58" s="69">
        <v>100</v>
      </c>
      <c r="J58" s="799"/>
      <c r="K58" s="800"/>
    </row>
    <row r="59" spans="1:11" x14ac:dyDescent="0.2">
      <c r="A59" s="726" t="s">
        <v>3</v>
      </c>
      <c r="B59" s="834" t="s">
        <v>2</v>
      </c>
      <c r="C59" s="822" t="s">
        <v>19</v>
      </c>
      <c r="D59" s="823"/>
      <c r="E59" s="824"/>
      <c r="F59" s="825" t="s">
        <v>31</v>
      </c>
      <c r="G59" s="826"/>
      <c r="H59" s="827"/>
      <c r="I59" s="84" t="s">
        <v>12</v>
      </c>
      <c r="J59" s="801" t="s">
        <v>3</v>
      </c>
      <c r="K59" s="4" t="s">
        <v>13</v>
      </c>
    </row>
    <row r="60" spans="1:11" x14ac:dyDescent="0.2">
      <c r="A60" s="726"/>
      <c r="B60" s="834"/>
      <c r="C60" s="4" t="s">
        <v>30</v>
      </c>
      <c r="D60" s="4" t="s">
        <v>28</v>
      </c>
      <c r="E60" s="22"/>
      <c r="F60" s="4" t="s">
        <v>29</v>
      </c>
      <c r="G60" s="80" t="s">
        <v>32</v>
      </c>
      <c r="H60" s="67" t="s">
        <v>33</v>
      </c>
      <c r="I60" s="67" t="s">
        <v>33</v>
      </c>
      <c r="J60" s="802"/>
      <c r="K60" s="4" t="s">
        <v>14</v>
      </c>
    </row>
    <row r="61" spans="1:11" x14ac:dyDescent="0.2">
      <c r="A61" s="401" t="s">
        <v>182</v>
      </c>
      <c r="B61" s="402">
        <v>45931</v>
      </c>
      <c r="C61" s="477">
        <v>399600</v>
      </c>
      <c r="D61" s="477">
        <v>452880</v>
      </c>
      <c r="E61" s="477"/>
      <c r="F61" s="4"/>
      <c r="G61" s="4"/>
      <c r="H61" s="4"/>
      <c r="I61" s="12"/>
      <c r="J61" s="122"/>
      <c r="K61" s="4"/>
    </row>
    <row r="62" spans="1:11" x14ac:dyDescent="0.2">
      <c r="A62" s="604">
        <v>46064</v>
      </c>
      <c r="B62" s="432">
        <v>24331</v>
      </c>
      <c r="C62" s="283">
        <v>0</v>
      </c>
      <c r="D62" s="283">
        <v>84</v>
      </c>
      <c r="E62" s="283"/>
      <c r="F62" s="528">
        <f>C62*20+D62*12</f>
        <v>1008</v>
      </c>
      <c r="G62" s="284">
        <f>(C62*C$61+D62*D$61)</f>
        <v>38041920</v>
      </c>
      <c r="H62" s="284">
        <f t="shared" ref="H62:H68" si="18">C62+D62+E62</f>
        <v>84</v>
      </c>
      <c r="I62" s="349">
        <f>I58-H62</f>
        <v>16</v>
      </c>
      <c r="J62" s="258">
        <f>'[1]Area 2'!$D$95</f>
        <v>0</v>
      </c>
      <c r="K62" s="110">
        <f t="shared" ref="K62:K68" si="19">J62-A62</f>
        <v>-46064</v>
      </c>
    </row>
    <row r="63" spans="1:11" x14ac:dyDescent="0.2">
      <c r="A63" s="431"/>
      <c r="B63" s="435"/>
      <c r="C63" s="283"/>
      <c r="D63" s="283"/>
      <c r="E63" s="283"/>
      <c r="F63" s="528">
        <f t="shared" ref="F63:F68" si="20">C63*20+D63*12</f>
        <v>0</v>
      </c>
      <c r="G63" s="284">
        <f t="shared" ref="G63:G68" si="21">(C63*C$61+D63*D$61)</f>
        <v>0</v>
      </c>
      <c r="H63" s="284">
        <f t="shared" si="18"/>
        <v>0</v>
      </c>
      <c r="I63" s="349">
        <f t="shared" ref="I63:I68" si="22">I62-H63</f>
        <v>16</v>
      </c>
      <c r="J63" s="258"/>
      <c r="K63" s="110">
        <f t="shared" si="19"/>
        <v>0</v>
      </c>
    </row>
    <row r="64" spans="1:11" x14ac:dyDescent="0.2">
      <c r="A64" s="431"/>
      <c r="B64" s="435"/>
      <c r="C64" s="283"/>
      <c r="D64" s="283"/>
      <c r="E64" s="283"/>
      <c r="F64" s="528">
        <f t="shared" si="20"/>
        <v>0</v>
      </c>
      <c r="G64" s="284">
        <f t="shared" si="21"/>
        <v>0</v>
      </c>
      <c r="H64" s="284">
        <f t="shared" si="18"/>
        <v>0</v>
      </c>
      <c r="I64" s="614">
        <f t="shared" si="22"/>
        <v>16</v>
      </c>
      <c r="J64" s="258"/>
      <c r="K64" s="110">
        <f t="shared" si="19"/>
        <v>0</v>
      </c>
    </row>
    <row r="65" spans="1:11" x14ac:dyDescent="0.2">
      <c r="A65" s="431"/>
      <c r="B65" s="435"/>
      <c r="C65" s="283"/>
      <c r="D65" s="283"/>
      <c r="E65" s="283"/>
      <c r="F65" s="528">
        <f t="shared" si="20"/>
        <v>0</v>
      </c>
      <c r="G65" s="284">
        <f t="shared" si="21"/>
        <v>0</v>
      </c>
      <c r="H65" s="284">
        <f t="shared" si="18"/>
        <v>0</v>
      </c>
      <c r="I65" s="614">
        <f t="shared" si="22"/>
        <v>16</v>
      </c>
      <c r="J65" s="258"/>
      <c r="K65" s="110">
        <f t="shared" si="19"/>
        <v>0</v>
      </c>
    </row>
    <row r="66" spans="1:11" x14ac:dyDescent="0.2">
      <c r="A66" s="431"/>
      <c r="B66" s="435"/>
      <c r="C66" s="283"/>
      <c r="D66" s="283"/>
      <c r="E66" s="283"/>
      <c r="F66" s="528">
        <f t="shared" si="20"/>
        <v>0</v>
      </c>
      <c r="G66" s="284">
        <f t="shared" si="21"/>
        <v>0</v>
      </c>
      <c r="H66" s="284">
        <f t="shared" si="18"/>
        <v>0</v>
      </c>
      <c r="I66" s="614">
        <f t="shared" si="22"/>
        <v>16</v>
      </c>
      <c r="J66" s="258"/>
      <c r="K66" s="110">
        <f t="shared" si="19"/>
        <v>0</v>
      </c>
    </row>
    <row r="67" spans="1:11" x14ac:dyDescent="0.2">
      <c r="A67" s="431"/>
      <c r="B67" s="435"/>
      <c r="C67" s="283"/>
      <c r="D67" s="283"/>
      <c r="E67" s="283"/>
      <c r="F67" s="528">
        <f t="shared" si="20"/>
        <v>0</v>
      </c>
      <c r="G67" s="284">
        <f t="shared" si="21"/>
        <v>0</v>
      </c>
      <c r="H67" s="284">
        <f t="shared" si="18"/>
        <v>0</v>
      </c>
      <c r="I67" s="614">
        <f t="shared" si="22"/>
        <v>16</v>
      </c>
      <c r="J67" s="258"/>
      <c r="K67" s="110">
        <f t="shared" si="19"/>
        <v>0</v>
      </c>
    </row>
    <row r="68" spans="1:11" x14ac:dyDescent="0.2">
      <c r="A68" s="431"/>
      <c r="B68" s="435"/>
      <c r="C68" s="283"/>
      <c r="D68" s="283"/>
      <c r="E68" s="283"/>
      <c r="F68" s="528">
        <f t="shared" si="20"/>
        <v>0</v>
      </c>
      <c r="G68" s="284">
        <f t="shared" si="21"/>
        <v>0</v>
      </c>
      <c r="H68" s="284">
        <f t="shared" si="18"/>
        <v>0</v>
      </c>
      <c r="I68" s="614">
        <f t="shared" si="22"/>
        <v>16</v>
      </c>
      <c r="J68" s="258"/>
      <c r="K68" s="110">
        <f t="shared" si="19"/>
        <v>0</v>
      </c>
    </row>
    <row r="69" spans="1:11" x14ac:dyDescent="0.2">
      <c r="A69" s="731" t="s">
        <v>18</v>
      </c>
      <c r="B69" s="732"/>
      <c r="C69" s="272">
        <f t="shared" ref="C69:H69" si="23">SUM(C62:C68)</f>
        <v>0</v>
      </c>
      <c r="D69" s="272">
        <f t="shared" si="23"/>
        <v>84</v>
      </c>
      <c r="E69" s="272">
        <f t="shared" si="23"/>
        <v>0</v>
      </c>
      <c r="F69" s="525">
        <f t="shared" si="23"/>
        <v>1008</v>
      </c>
      <c r="G69" s="79">
        <f t="shared" si="23"/>
        <v>38041920</v>
      </c>
      <c r="H69" s="48">
        <f t="shared" si="23"/>
        <v>84</v>
      </c>
      <c r="I69" s="287">
        <f>I58-H69</f>
        <v>16</v>
      </c>
      <c r="J69" s="121"/>
      <c r="K69" s="22"/>
    </row>
    <row r="70" spans="1:11" x14ac:dyDescent="0.2">
      <c r="A70" s="4"/>
      <c r="B70" s="121"/>
      <c r="C70" s="7"/>
      <c r="D70" s="7"/>
      <c r="E70" s="7"/>
      <c r="F70" s="8"/>
      <c r="G70" s="57" t="s">
        <v>46</v>
      </c>
      <c r="H70" s="64">
        <f>H69/I58%</f>
        <v>84</v>
      </c>
      <c r="I70" s="53">
        <f>I69/I58%</f>
        <v>16</v>
      </c>
      <c r="J70" s="121"/>
      <c r="K70" s="22"/>
    </row>
    <row r="72" spans="1:11" ht="15" x14ac:dyDescent="0.25">
      <c r="A72" s="93" t="s">
        <v>0</v>
      </c>
      <c r="B72" s="760" t="s">
        <v>40</v>
      </c>
      <c r="C72" s="761"/>
      <c r="D72" s="761"/>
      <c r="E72" s="761"/>
      <c r="F72" s="761"/>
      <c r="G72" s="761"/>
      <c r="H72" s="762"/>
      <c r="I72" s="70" t="s">
        <v>11</v>
      </c>
      <c r="J72" s="797" t="s">
        <v>15</v>
      </c>
      <c r="K72" s="798"/>
    </row>
    <row r="73" spans="1:11" ht="14.25" x14ac:dyDescent="0.2">
      <c r="A73" s="94" t="s">
        <v>1</v>
      </c>
      <c r="B73" s="817" t="s">
        <v>274</v>
      </c>
      <c r="C73" s="818"/>
      <c r="D73" s="818"/>
      <c r="E73" s="818"/>
      <c r="F73" s="818"/>
      <c r="G73" s="818"/>
      <c r="H73" s="819"/>
      <c r="I73" s="69">
        <v>100</v>
      </c>
      <c r="J73" s="799"/>
      <c r="K73" s="800"/>
    </row>
    <row r="74" spans="1:11" x14ac:dyDescent="0.2">
      <c r="A74" s="726" t="s">
        <v>3</v>
      </c>
      <c r="B74" s="834" t="s">
        <v>2</v>
      </c>
      <c r="C74" s="822" t="s">
        <v>19</v>
      </c>
      <c r="D74" s="823"/>
      <c r="E74" s="824"/>
      <c r="F74" s="825" t="s">
        <v>31</v>
      </c>
      <c r="G74" s="826"/>
      <c r="H74" s="827"/>
      <c r="I74" s="84" t="s">
        <v>12</v>
      </c>
      <c r="J74" s="801" t="s">
        <v>3</v>
      </c>
      <c r="K74" s="4" t="s">
        <v>13</v>
      </c>
    </row>
    <row r="75" spans="1:11" x14ac:dyDescent="0.2">
      <c r="A75" s="726"/>
      <c r="B75" s="834"/>
      <c r="C75" s="4" t="s">
        <v>30</v>
      </c>
      <c r="D75" s="4" t="s">
        <v>28</v>
      </c>
      <c r="E75" s="22"/>
      <c r="F75" s="4" t="s">
        <v>29</v>
      </c>
      <c r="G75" s="80" t="s">
        <v>32</v>
      </c>
      <c r="H75" s="67" t="s">
        <v>33</v>
      </c>
      <c r="I75" s="67" t="s">
        <v>33</v>
      </c>
      <c r="J75" s="802"/>
      <c r="K75" s="4" t="s">
        <v>14</v>
      </c>
    </row>
    <row r="76" spans="1:11" x14ac:dyDescent="0.2">
      <c r="A76" s="401" t="s">
        <v>182</v>
      </c>
      <c r="B76" s="402">
        <v>45931</v>
      </c>
      <c r="C76" s="477">
        <v>399600</v>
      </c>
      <c r="D76" s="477">
        <v>452880</v>
      </c>
      <c r="E76" s="477"/>
      <c r="F76" s="4"/>
      <c r="G76" s="4"/>
      <c r="H76" s="4"/>
      <c r="I76" s="12"/>
      <c r="J76" s="122"/>
      <c r="K76" s="4"/>
    </row>
    <row r="77" spans="1:11" x14ac:dyDescent="0.2">
      <c r="A77" s="604"/>
      <c r="B77" s="432"/>
      <c r="C77" s="283"/>
      <c r="D77" s="283"/>
      <c r="E77" s="283"/>
      <c r="F77" s="528">
        <f>C77*20+D77*12</f>
        <v>0</v>
      </c>
      <c r="G77" s="284">
        <f>(C77*C$61+D77*D$61)</f>
        <v>0</v>
      </c>
      <c r="H77" s="284">
        <f t="shared" ref="H77:H83" si="24">C77+D77+E77</f>
        <v>0</v>
      </c>
      <c r="I77" s="349">
        <f>I73-H77</f>
        <v>100</v>
      </c>
      <c r="J77" s="258"/>
      <c r="K77" s="640">
        <f t="shared" ref="K77:K83" si="25">J77-A77</f>
        <v>0</v>
      </c>
    </row>
    <row r="78" spans="1:11" x14ac:dyDescent="0.2">
      <c r="A78" s="431"/>
      <c r="B78" s="435"/>
      <c r="C78" s="283"/>
      <c r="D78" s="283"/>
      <c r="E78" s="283"/>
      <c r="F78" s="528">
        <f t="shared" ref="F78:F83" si="26">C78*20+D78*12</f>
        <v>0</v>
      </c>
      <c r="G78" s="284">
        <f t="shared" ref="G78:G83" si="27">(C78*C$61+D78*D$61)</f>
        <v>0</v>
      </c>
      <c r="H78" s="284">
        <f t="shared" si="24"/>
        <v>0</v>
      </c>
      <c r="I78" s="349">
        <f t="shared" ref="I78:I83" si="28">I77-H78</f>
        <v>100</v>
      </c>
      <c r="J78" s="258"/>
      <c r="K78" s="110">
        <f t="shared" si="25"/>
        <v>0</v>
      </c>
    </row>
    <row r="79" spans="1:11" x14ac:dyDescent="0.2">
      <c r="A79" s="431"/>
      <c r="B79" s="435"/>
      <c r="C79" s="283"/>
      <c r="D79" s="283"/>
      <c r="E79" s="283"/>
      <c r="F79" s="528">
        <f t="shared" si="26"/>
        <v>0</v>
      </c>
      <c r="G79" s="284">
        <f t="shared" si="27"/>
        <v>0</v>
      </c>
      <c r="H79" s="284">
        <f t="shared" si="24"/>
        <v>0</v>
      </c>
      <c r="I79" s="614">
        <f t="shared" si="28"/>
        <v>100</v>
      </c>
      <c r="J79" s="258"/>
      <c r="K79" s="110">
        <f t="shared" si="25"/>
        <v>0</v>
      </c>
    </row>
    <row r="80" spans="1:11" x14ac:dyDescent="0.2">
      <c r="A80" s="431"/>
      <c r="B80" s="435"/>
      <c r="C80" s="283"/>
      <c r="D80" s="283"/>
      <c r="E80" s="283"/>
      <c r="F80" s="528">
        <f t="shared" si="26"/>
        <v>0</v>
      </c>
      <c r="G80" s="284">
        <f t="shared" si="27"/>
        <v>0</v>
      </c>
      <c r="H80" s="284">
        <f t="shared" si="24"/>
        <v>0</v>
      </c>
      <c r="I80" s="614">
        <f t="shared" si="28"/>
        <v>100</v>
      </c>
      <c r="J80" s="258"/>
      <c r="K80" s="110">
        <f t="shared" si="25"/>
        <v>0</v>
      </c>
    </row>
    <row r="81" spans="1:11" x14ac:dyDescent="0.2">
      <c r="A81" s="431"/>
      <c r="B81" s="435"/>
      <c r="C81" s="283"/>
      <c r="D81" s="283"/>
      <c r="E81" s="283"/>
      <c r="F81" s="528">
        <f t="shared" si="26"/>
        <v>0</v>
      </c>
      <c r="G81" s="284">
        <f t="shared" si="27"/>
        <v>0</v>
      </c>
      <c r="H81" s="284">
        <f t="shared" si="24"/>
        <v>0</v>
      </c>
      <c r="I81" s="614">
        <f t="shared" si="28"/>
        <v>100</v>
      </c>
      <c r="J81" s="258"/>
      <c r="K81" s="110">
        <f t="shared" si="25"/>
        <v>0</v>
      </c>
    </row>
    <row r="82" spans="1:11" x14ac:dyDescent="0.2">
      <c r="A82" s="431"/>
      <c r="B82" s="435"/>
      <c r="C82" s="283"/>
      <c r="D82" s="283"/>
      <c r="E82" s="283"/>
      <c r="F82" s="528">
        <f t="shared" si="26"/>
        <v>0</v>
      </c>
      <c r="G82" s="284">
        <f t="shared" si="27"/>
        <v>0</v>
      </c>
      <c r="H82" s="284">
        <f t="shared" si="24"/>
        <v>0</v>
      </c>
      <c r="I82" s="614">
        <f t="shared" si="28"/>
        <v>100</v>
      </c>
      <c r="J82" s="258"/>
      <c r="K82" s="110">
        <f t="shared" si="25"/>
        <v>0</v>
      </c>
    </row>
    <row r="83" spans="1:11" x14ac:dyDescent="0.2">
      <c r="A83" s="431"/>
      <c r="B83" s="435"/>
      <c r="C83" s="283"/>
      <c r="D83" s="283"/>
      <c r="E83" s="283"/>
      <c r="F83" s="528">
        <f t="shared" si="26"/>
        <v>0</v>
      </c>
      <c r="G83" s="284">
        <f t="shared" si="27"/>
        <v>0</v>
      </c>
      <c r="H83" s="284">
        <f t="shared" si="24"/>
        <v>0</v>
      </c>
      <c r="I83" s="614">
        <f t="shared" si="28"/>
        <v>100</v>
      </c>
      <c r="J83" s="258"/>
      <c r="K83" s="110">
        <f t="shared" si="25"/>
        <v>0</v>
      </c>
    </row>
    <row r="84" spans="1:11" x14ac:dyDescent="0.2">
      <c r="A84" s="731" t="s">
        <v>18</v>
      </c>
      <c r="B84" s="732"/>
      <c r="C84" s="272">
        <f t="shared" ref="C84:H84" si="29">SUM(C77:C83)</f>
        <v>0</v>
      </c>
      <c r="D84" s="272">
        <f t="shared" si="29"/>
        <v>0</v>
      </c>
      <c r="E84" s="272">
        <f t="shared" si="29"/>
        <v>0</v>
      </c>
      <c r="F84" s="525">
        <f t="shared" si="29"/>
        <v>0</v>
      </c>
      <c r="G84" s="79">
        <f t="shared" si="29"/>
        <v>0</v>
      </c>
      <c r="H84" s="48">
        <f t="shared" si="29"/>
        <v>0</v>
      </c>
      <c r="I84" s="287">
        <f>I73-H84</f>
        <v>100</v>
      </c>
      <c r="J84" s="121"/>
      <c r="K84" s="22"/>
    </row>
    <row r="85" spans="1:11" x14ac:dyDescent="0.2">
      <c r="A85" s="4"/>
      <c r="B85" s="121"/>
      <c r="C85" s="7"/>
      <c r="D85" s="7"/>
      <c r="E85" s="7"/>
      <c r="F85" s="8"/>
      <c r="G85" s="57" t="s">
        <v>46</v>
      </c>
      <c r="H85" s="64">
        <f>H84/I73%</f>
        <v>0</v>
      </c>
      <c r="I85" s="53">
        <f>I84/I73%</f>
        <v>100</v>
      </c>
      <c r="J85" s="121"/>
      <c r="K85" s="22"/>
    </row>
    <row r="87" spans="1:11" ht="15" x14ac:dyDescent="0.25">
      <c r="A87" s="93" t="s">
        <v>0</v>
      </c>
      <c r="B87" s="760" t="s">
        <v>40</v>
      </c>
      <c r="C87" s="761"/>
      <c r="D87" s="761"/>
      <c r="E87" s="761"/>
      <c r="F87" s="761"/>
      <c r="G87" s="761"/>
      <c r="H87" s="762"/>
      <c r="I87" s="70" t="s">
        <v>11</v>
      </c>
      <c r="J87" s="797" t="s">
        <v>15</v>
      </c>
      <c r="K87" s="798"/>
    </row>
    <row r="88" spans="1:11" ht="14.25" x14ac:dyDescent="0.2">
      <c r="A88" s="94" t="s">
        <v>1</v>
      </c>
      <c r="B88" s="817" t="s">
        <v>275</v>
      </c>
      <c r="C88" s="818"/>
      <c r="D88" s="818"/>
      <c r="E88" s="818"/>
      <c r="F88" s="818"/>
      <c r="G88" s="818"/>
      <c r="H88" s="819"/>
      <c r="I88" s="69">
        <v>100</v>
      </c>
      <c r="J88" s="799"/>
      <c r="K88" s="800"/>
    </row>
    <row r="89" spans="1:11" x14ac:dyDescent="0.2">
      <c r="A89" s="726" t="s">
        <v>3</v>
      </c>
      <c r="B89" s="834" t="s">
        <v>2</v>
      </c>
      <c r="C89" s="822" t="s">
        <v>19</v>
      </c>
      <c r="D89" s="823"/>
      <c r="E89" s="824"/>
      <c r="F89" s="825" t="s">
        <v>31</v>
      </c>
      <c r="G89" s="826"/>
      <c r="H89" s="827"/>
      <c r="I89" s="84" t="s">
        <v>12</v>
      </c>
      <c r="J89" s="801" t="s">
        <v>3</v>
      </c>
      <c r="K89" s="4" t="s">
        <v>13</v>
      </c>
    </row>
    <row r="90" spans="1:11" x14ac:dyDescent="0.2">
      <c r="A90" s="726"/>
      <c r="B90" s="834"/>
      <c r="C90" s="4" t="s">
        <v>30</v>
      </c>
      <c r="D90" s="4" t="s">
        <v>28</v>
      </c>
      <c r="E90" s="22"/>
      <c r="F90" s="4" t="s">
        <v>29</v>
      </c>
      <c r="G90" s="80" t="s">
        <v>32</v>
      </c>
      <c r="H90" s="67" t="s">
        <v>33</v>
      </c>
      <c r="I90" s="67" t="s">
        <v>33</v>
      </c>
      <c r="J90" s="802"/>
      <c r="K90" s="4" t="s">
        <v>14</v>
      </c>
    </row>
    <row r="91" spans="1:11" x14ac:dyDescent="0.2">
      <c r="A91" s="401" t="s">
        <v>182</v>
      </c>
      <c r="B91" s="402">
        <v>45931</v>
      </c>
      <c r="C91" s="477">
        <v>399600</v>
      </c>
      <c r="D91" s="477">
        <v>452880</v>
      </c>
      <c r="E91" s="477"/>
      <c r="F91" s="4"/>
      <c r="G91" s="4"/>
      <c r="H91" s="4"/>
      <c r="I91" s="12"/>
      <c r="J91" s="122"/>
      <c r="K91" s="4"/>
    </row>
    <row r="92" spans="1:11" x14ac:dyDescent="0.2">
      <c r="A92" s="604"/>
      <c r="B92" s="432"/>
      <c r="C92" s="283"/>
      <c r="D92" s="283"/>
      <c r="E92" s="283"/>
      <c r="F92" s="528">
        <f>C92*20+D92*12</f>
        <v>0</v>
      </c>
      <c r="G92" s="284">
        <f>(C92*C$91+D92*D$91)</f>
        <v>0</v>
      </c>
      <c r="H92" s="284">
        <f t="shared" ref="H92:H98" si="30">C92+D92+E92</f>
        <v>0</v>
      </c>
      <c r="I92" s="349">
        <f>I88-H92</f>
        <v>100</v>
      </c>
      <c r="J92" s="258"/>
      <c r="K92" s="641">
        <f t="shared" ref="K92:K98" si="31">J92-A92</f>
        <v>0</v>
      </c>
    </row>
    <row r="93" spans="1:11" x14ac:dyDescent="0.2">
      <c r="A93" s="431"/>
      <c r="B93" s="435"/>
      <c r="C93" s="283"/>
      <c r="D93" s="283"/>
      <c r="E93" s="283"/>
      <c r="F93" s="528">
        <f t="shared" ref="F93:F98" si="32">C93*20+D93*12</f>
        <v>0</v>
      </c>
      <c r="G93" s="284">
        <f t="shared" ref="G93:G98" si="33">(C93*C$91+D93*D$91)</f>
        <v>0</v>
      </c>
      <c r="H93" s="284">
        <f t="shared" si="30"/>
        <v>0</v>
      </c>
      <c r="I93" s="349">
        <f t="shared" ref="I93:I98" si="34">I92-H93</f>
        <v>100</v>
      </c>
      <c r="J93" s="258"/>
      <c r="K93" s="110">
        <f t="shared" si="31"/>
        <v>0</v>
      </c>
    </row>
    <row r="94" spans="1:11" x14ac:dyDescent="0.2">
      <c r="A94" s="431"/>
      <c r="B94" s="435"/>
      <c r="C94" s="283"/>
      <c r="D94" s="283"/>
      <c r="E94" s="283"/>
      <c r="F94" s="528">
        <f t="shared" si="32"/>
        <v>0</v>
      </c>
      <c r="G94" s="284">
        <f t="shared" si="33"/>
        <v>0</v>
      </c>
      <c r="H94" s="284">
        <f t="shared" si="30"/>
        <v>0</v>
      </c>
      <c r="I94" s="614">
        <f t="shared" si="34"/>
        <v>100</v>
      </c>
      <c r="J94" s="258"/>
      <c r="K94" s="110">
        <f t="shared" si="31"/>
        <v>0</v>
      </c>
    </row>
    <row r="95" spans="1:11" x14ac:dyDescent="0.2">
      <c r="A95" s="431"/>
      <c r="B95" s="435"/>
      <c r="C95" s="283"/>
      <c r="D95" s="283"/>
      <c r="E95" s="283"/>
      <c r="F95" s="528">
        <f t="shared" si="32"/>
        <v>0</v>
      </c>
      <c r="G95" s="284">
        <f t="shared" si="33"/>
        <v>0</v>
      </c>
      <c r="H95" s="284">
        <f t="shared" si="30"/>
        <v>0</v>
      </c>
      <c r="I95" s="614">
        <f t="shared" si="34"/>
        <v>100</v>
      </c>
      <c r="J95" s="258"/>
      <c r="K95" s="110">
        <f t="shared" si="31"/>
        <v>0</v>
      </c>
    </row>
    <row r="96" spans="1:11" x14ac:dyDescent="0.2">
      <c r="A96" s="431"/>
      <c r="B96" s="435"/>
      <c r="C96" s="283"/>
      <c r="D96" s="283"/>
      <c r="E96" s="283"/>
      <c r="F96" s="528">
        <f t="shared" si="32"/>
        <v>0</v>
      </c>
      <c r="G96" s="284">
        <f t="shared" si="33"/>
        <v>0</v>
      </c>
      <c r="H96" s="284">
        <f t="shared" si="30"/>
        <v>0</v>
      </c>
      <c r="I96" s="614">
        <f t="shared" si="34"/>
        <v>100</v>
      </c>
      <c r="J96" s="258"/>
      <c r="K96" s="110">
        <f t="shared" si="31"/>
        <v>0</v>
      </c>
    </row>
    <row r="97" spans="1:16" x14ac:dyDescent="0.2">
      <c r="A97" s="431"/>
      <c r="B97" s="435"/>
      <c r="C97" s="283"/>
      <c r="D97" s="283"/>
      <c r="E97" s="283"/>
      <c r="F97" s="528">
        <f t="shared" si="32"/>
        <v>0</v>
      </c>
      <c r="G97" s="284">
        <f t="shared" si="33"/>
        <v>0</v>
      </c>
      <c r="H97" s="284">
        <f t="shared" si="30"/>
        <v>0</v>
      </c>
      <c r="I97" s="614">
        <f t="shared" si="34"/>
        <v>100</v>
      </c>
      <c r="J97" s="258"/>
      <c r="K97" s="110">
        <f t="shared" si="31"/>
        <v>0</v>
      </c>
    </row>
    <row r="98" spans="1:16" x14ac:dyDescent="0.2">
      <c r="A98" s="431"/>
      <c r="B98" s="435"/>
      <c r="C98" s="283"/>
      <c r="D98" s="283"/>
      <c r="E98" s="283"/>
      <c r="F98" s="528">
        <f t="shared" si="32"/>
        <v>0</v>
      </c>
      <c r="G98" s="284">
        <f t="shared" si="33"/>
        <v>0</v>
      </c>
      <c r="H98" s="284">
        <f t="shared" si="30"/>
        <v>0</v>
      </c>
      <c r="I98" s="614">
        <f t="shared" si="34"/>
        <v>100</v>
      </c>
      <c r="J98" s="258"/>
      <c r="K98" s="110">
        <f t="shared" si="31"/>
        <v>0</v>
      </c>
    </row>
    <row r="99" spans="1:16" x14ac:dyDescent="0.2">
      <c r="A99" s="731" t="s">
        <v>18</v>
      </c>
      <c r="B99" s="732"/>
      <c r="C99" s="272">
        <f t="shared" ref="C99:H99" si="35">SUM(C92:C98)</f>
        <v>0</v>
      </c>
      <c r="D99" s="272">
        <f t="shared" si="35"/>
        <v>0</v>
      </c>
      <c r="E99" s="272">
        <f t="shared" si="35"/>
        <v>0</v>
      </c>
      <c r="F99" s="525">
        <f t="shared" si="35"/>
        <v>0</v>
      </c>
      <c r="G99" s="79">
        <f t="shared" si="35"/>
        <v>0</v>
      </c>
      <c r="H99" s="48">
        <f t="shared" si="35"/>
        <v>0</v>
      </c>
      <c r="I99" s="287">
        <f>I88-H99</f>
        <v>100</v>
      </c>
      <c r="J99" s="121"/>
      <c r="K99" s="22"/>
    </row>
    <row r="100" spans="1:16" x14ac:dyDescent="0.2">
      <c r="A100" s="4"/>
      <c r="B100" s="121"/>
      <c r="C100" s="7"/>
      <c r="D100" s="7"/>
      <c r="E100" s="7"/>
      <c r="F100" s="8"/>
      <c r="G100" s="57" t="s">
        <v>46</v>
      </c>
      <c r="H100" s="64">
        <f>H99/I88%</f>
        <v>0</v>
      </c>
      <c r="I100" s="53">
        <f>I99/I88%</f>
        <v>100</v>
      </c>
      <c r="J100" s="121"/>
      <c r="K100" s="22"/>
    </row>
    <row r="101" spans="1:16" x14ac:dyDescent="0.2">
      <c r="G101" s="32"/>
    </row>
    <row r="102" spans="1:16" x14ac:dyDescent="0.2">
      <c r="A102" s="789" t="s">
        <v>116</v>
      </c>
      <c r="B102" s="789"/>
      <c r="C102" s="789"/>
      <c r="D102" s="789"/>
      <c r="E102" s="789"/>
      <c r="F102" s="789"/>
      <c r="G102" s="65">
        <f>I88+I73+I58+I42+I23+I4</f>
        <v>800</v>
      </c>
    </row>
    <row r="103" spans="1:16" s="71" customFormat="1" x14ac:dyDescent="0.2">
      <c r="A103" s="73"/>
      <c r="B103" s="73"/>
      <c r="C103" s="73"/>
      <c r="D103" s="73"/>
      <c r="E103" s="73"/>
      <c r="F103" s="73"/>
      <c r="G103" s="358"/>
      <c r="J103" s="132"/>
      <c r="M103" s="282"/>
    </row>
    <row r="104" spans="1:16" x14ac:dyDescent="0.2">
      <c r="A104" s="784" t="s">
        <v>115</v>
      </c>
      <c r="B104" s="784"/>
      <c r="C104" s="784"/>
      <c r="D104" s="784"/>
      <c r="E104" s="784"/>
      <c r="F104" s="784"/>
      <c r="G104" s="65">
        <f>H99+H84+H69+H53+H38+H18</f>
        <v>84</v>
      </c>
    </row>
    <row r="105" spans="1:16" x14ac:dyDescent="0.2">
      <c r="G105" s="32"/>
    </row>
    <row r="106" spans="1:16" x14ac:dyDescent="0.2">
      <c r="A106" s="830" t="s">
        <v>113</v>
      </c>
      <c r="B106" s="830"/>
      <c r="C106" s="830"/>
      <c r="D106" s="830"/>
      <c r="E106" s="830"/>
      <c r="F106" s="830"/>
      <c r="G106" s="362">
        <f>G102-G104</f>
        <v>716</v>
      </c>
    </row>
    <row r="107" spans="1:16" x14ac:dyDescent="0.2">
      <c r="G107" s="32"/>
    </row>
    <row r="108" spans="1:16" x14ac:dyDescent="0.2">
      <c r="A108" s="748" t="s">
        <v>50</v>
      </c>
      <c r="B108" s="748"/>
      <c r="C108" s="748"/>
      <c r="D108" s="748"/>
      <c r="E108" s="748"/>
      <c r="F108" s="748"/>
      <c r="G108" s="66">
        <f>G104/G102%</f>
        <v>10.5</v>
      </c>
    </row>
    <row r="109" spans="1:16" x14ac:dyDescent="0.2">
      <c r="A109" s="73"/>
      <c r="B109" s="127"/>
      <c r="C109" s="73"/>
      <c r="D109" s="73"/>
      <c r="E109" s="73"/>
      <c r="F109" s="73"/>
      <c r="G109" s="66"/>
    </row>
    <row r="110" spans="1:16" x14ac:dyDescent="0.2">
      <c r="A110" s="68" t="s">
        <v>51</v>
      </c>
      <c r="B110" s="128"/>
      <c r="C110" s="68"/>
      <c r="D110" s="68"/>
      <c r="E110" s="68"/>
      <c r="F110" s="68"/>
      <c r="G110" s="260">
        <f>G106/G102%</f>
        <v>89.5</v>
      </c>
    </row>
    <row r="112" spans="1:16" x14ac:dyDescent="0.2">
      <c r="A112" s="831" t="s">
        <v>56</v>
      </c>
      <c r="B112" s="831"/>
      <c r="C112" s="831"/>
      <c r="D112" s="831"/>
      <c r="E112" s="831"/>
      <c r="F112" s="831"/>
      <c r="G112" s="261">
        <f>F99+F84+F69+F53+F38+F18</f>
        <v>1008</v>
      </c>
    </row>
    <row r="114" spans="1:8" x14ac:dyDescent="0.2">
      <c r="A114" s="791" t="s">
        <v>57</v>
      </c>
      <c r="B114" s="791"/>
      <c r="C114" s="791"/>
      <c r="D114" s="791"/>
      <c r="E114" s="791"/>
      <c r="F114" s="791"/>
      <c r="G114" s="829">
        <f>G99+G84+G69+G53+G38+G18</f>
        <v>38041920</v>
      </c>
      <c r="H114" s="829"/>
    </row>
  </sheetData>
  <mergeCells count="63">
    <mergeCell ref="A99:B99"/>
    <mergeCell ref="A102:F102"/>
    <mergeCell ref="B87:H87"/>
    <mergeCell ref="J87:K88"/>
    <mergeCell ref="B88:H88"/>
    <mergeCell ref="A89:A90"/>
    <mergeCell ref="B89:B90"/>
    <mergeCell ref="C89:E89"/>
    <mergeCell ref="F89:H89"/>
    <mergeCell ref="J89:J90"/>
    <mergeCell ref="A24:A25"/>
    <mergeCell ref="A53:B53"/>
    <mergeCell ref="B41:H41"/>
    <mergeCell ref="J41:K42"/>
    <mergeCell ref="B42:H42"/>
    <mergeCell ref="A43:A44"/>
    <mergeCell ref="B43:B44"/>
    <mergeCell ref="C43:E43"/>
    <mergeCell ref="F43:H43"/>
    <mergeCell ref="J43:J44"/>
    <mergeCell ref="A5:A6"/>
    <mergeCell ref="A18:B18"/>
    <mergeCell ref="A1:L1"/>
    <mergeCell ref="A2:K2"/>
    <mergeCell ref="A114:F114"/>
    <mergeCell ref="G114:H114"/>
    <mergeCell ref="A112:F112"/>
    <mergeCell ref="A104:F104"/>
    <mergeCell ref="A108:F108"/>
    <mergeCell ref="F24:H24"/>
    <mergeCell ref="J24:J25"/>
    <mergeCell ref="F5:H5"/>
    <mergeCell ref="B24:B25"/>
    <mergeCell ref="B4:H4"/>
    <mergeCell ref="B5:B6"/>
    <mergeCell ref="B22:H22"/>
    <mergeCell ref="A69:B69"/>
    <mergeCell ref="B3:H3"/>
    <mergeCell ref="J3:K4"/>
    <mergeCell ref="J5:J6"/>
    <mergeCell ref="C5:E5"/>
    <mergeCell ref="A106:F106"/>
    <mergeCell ref="B23:H23"/>
    <mergeCell ref="A38:B38"/>
    <mergeCell ref="C24:E24"/>
    <mergeCell ref="J22:K23"/>
    <mergeCell ref="B57:H57"/>
    <mergeCell ref="J57:K58"/>
    <mergeCell ref="B58:H58"/>
    <mergeCell ref="A59:A60"/>
    <mergeCell ref="B59:B60"/>
    <mergeCell ref="C59:E59"/>
    <mergeCell ref="F59:H59"/>
    <mergeCell ref="J59:J60"/>
    <mergeCell ref="A84:B84"/>
    <mergeCell ref="B72:H72"/>
    <mergeCell ref="J72:K73"/>
    <mergeCell ref="B73:H73"/>
    <mergeCell ref="A74:A75"/>
    <mergeCell ref="B74:B75"/>
    <mergeCell ref="C74:E74"/>
    <mergeCell ref="F74:H74"/>
    <mergeCell ref="J74:J75"/>
  </mergeCells>
  <phoneticPr fontId="0" type="noConversion"/>
  <pageMargins left="0.11811023622047245" right="0" top="0.39370078740157483" bottom="0.19685039370078741" header="0.51181102362204722" footer="0.51181102362204722"/>
  <pageSetup paperSize="5" orientation="portrait" horizontalDpi="180" verticalDpi="180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1669F-924D-4875-A0E2-DF5877CEB96F}">
  <dimension ref="A1:Q237"/>
  <sheetViews>
    <sheetView topLeftCell="A16" workbookViewId="0">
      <selection activeCell="K32" sqref="K32"/>
    </sheetView>
  </sheetViews>
  <sheetFormatPr defaultRowHeight="12.75" x14ac:dyDescent="0.2"/>
  <cols>
    <col min="1" max="1" width="9" customWidth="1"/>
    <col min="2" max="2" width="7.85546875" style="123" customWidth="1"/>
    <col min="3" max="3" width="8.42578125" customWidth="1"/>
    <col min="4" max="4" width="9" customWidth="1"/>
    <col min="5" max="5" width="9.7109375" customWidth="1"/>
    <col min="6" max="6" width="10" customWidth="1"/>
    <col min="7" max="7" width="8" customWidth="1"/>
    <col min="8" max="8" width="11.28515625" customWidth="1"/>
    <col min="9" max="9" width="8" customWidth="1"/>
    <col min="10" max="10" width="7.85546875" customWidth="1"/>
    <col min="11" max="11" width="8.7109375" style="123" customWidth="1"/>
    <col min="12" max="12" width="7.42578125" customWidth="1"/>
    <col min="13" max="17" width="9.140625" style="71"/>
  </cols>
  <sheetData>
    <row r="1" spans="1:17" ht="18" x14ac:dyDescent="0.25">
      <c r="A1" s="788" t="s">
        <v>232</v>
      </c>
      <c r="B1" s="788"/>
      <c r="C1" s="788"/>
      <c r="D1" s="788"/>
      <c r="E1" s="788"/>
      <c r="F1" s="788"/>
      <c r="G1" s="788"/>
      <c r="H1" s="788"/>
      <c r="I1" s="788"/>
      <c r="J1" s="788"/>
      <c r="K1" s="788"/>
      <c r="L1" s="788"/>
      <c r="M1" s="282"/>
      <c r="O1"/>
      <c r="P1"/>
      <c r="Q1"/>
    </row>
    <row r="2" spans="1:17" ht="26.25" x14ac:dyDescent="0.2">
      <c r="A2" s="794" t="str">
        <f>GDSL!A2</f>
        <v>TAHUN 2026</v>
      </c>
      <c r="B2" s="794"/>
      <c r="C2" s="794"/>
      <c r="D2" s="794"/>
      <c r="E2" s="794"/>
      <c r="F2" s="794"/>
      <c r="G2" s="794"/>
      <c r="H2" s="794"/>
      <c r="I2" s="794"/>
      <c r="J2" s="794"/>
      <c r="K2" s="71"/>
      <c r="L2" s="71"/>
      <c r="M2" s="282"/>
      <c r="O2"/>
      <c r="P2"/>
      <c r="Q2"/>
    </row>
    <row r="3" spans="1:17" ht="15" x14ac:dyDescent="0.25">
      <c r="A3" s="171" t="s">
        <v>0</v>
      </c>
      <c r="B3" s="760" t="s">
        <v>253</v>
      </c>
      <c r="C3" s="761"/>
      <c r="D3" s="761"/>
      <c r="E3" s="761"/>
      <c r="F3" s="761"/>
      <c r="G3" s="761"/>
      <c r="H3" s="761"/>
      <c r="I3" s="762"/>
      <c r="J3" s="70" t="s">
        <v>11</v>
      </c>
      <c r="K3" s="797" t="s">
        <v>15</v>
      </c>
      <c r="L3" s="798"/>
      <c r="M3" s="335"/>
      <c r="N3" s="335"/>
      <c r="O3" s="335"/>
      <c r="P3" s="335"/>
    </row>
    <row r="4" spans="1:17" ht="14.25" x14ac:dyDescent="0.2">
      <c r="A4" s="93" t="s">
        <v>1</v>
      </c>
      <c r="B4" s="841" t="s">
        <v>190</v>
      </c>
      <c r="C4" s="842"/>
      <c r="D4" s="842"/>
      <c r="E4" s="842"/>
      <c r="F4" s="842"/>
      <c r="G4" s="842"/>
      <c r="H4" s="842"/>
      <c r="I4" s="843"/>
      <c r="J4" s="69">
        <v>250</v>
      </c>
      <c r="K4" s="799"/>
      <c r="L4" s="800"/>
    </row>
    <row r="5" spans="1:17" x14ac:dyDescent="0.2">
      <c r="A5" s="801" t="s">
        <v>3</v>
      </c>
      <c r="B5" s="801" t="s">
        <v>126</v>
      </c>
      <c r="C5" s="731" t="s">
        <v>19</v>
      </c>
      <c r="D5" s="837"/>
      <c r="E5" s="837"/>
      <c r="F5" s="732"/>
      <c r="G5" s="10" t="s">
        <v>34</v>
      </c>
      <c r="H5" s="844" t="s">
        <v>31</v>
      </c>
      <c r="I5" s="839"/>
      <c r="J5" s="81" t="s">
        <v>12</v>
      </c>
      <c r="K5" s="801" t="s">
        <v>3</v>
      </c>
      <c r="L5" s="4" t="s">
        <v>13</v>
      </c>
    </row>
    <row r="6" spans="1:17" x14ac:dyDescent="0.2">
      <c r="A6" s="802"/>
      <c r="B6" s="802"/>
      <c r="C6" s="22" t="s">
        <v>175</v>
      </c>
      <c r="D6" s="22" t="s">
        <v>176</v>
      </c>
      <c r="E6" s="22" t="s">
        <v>175</v>
      </c>
      <c r="F6" s="22" t="s">
        <v>174</v>
      </c>
      <c r="G6" s="67" t="s">
        <v>9</v>
      </c>
      <c r="H6" s="80" t="s">
        <v>8</v>
      </c>
      <c r="I6" s="457" t="s">
        <v>23</v>
      </c>
      <c r="J6" s="457" t="s">
        <v>23</v>
      </c>
      <c r="K6" s="802"/>
      <c r="L6" s="4" t="s">
        <v>14</v>
      </c>
    </row>
    <row r="7" spans="1:17" x14ac:dyDescent="0.2">
      <c r="A7" s="12"/>
      <c r="B7" s="593"/>
      <c r="C7" s="591" t="s">
        <v>257</v>
      </c>
      <c r="D7" s="592" t="s">
        <v>257</v>
      </c>
      <c r="E7" s="592" t="s">
        <v>258</v>
      </c>
      <c r="F7" s="592" t="s">
        <v>258</v>
      </c>
      <c r="G7" s="42"/>
      <c r="H7" s="559"/>
      <c r="I7" s="4"/>
      <c r="J7" s="12"/>
      <c r="K7" s="122"/>
      <c r="L7" s="4"/>
    </row>
    <row r="8" spans="1:17" x14ac:dyDescent="0.2">
      <c r="A8" s="12" t="s">
        <v>208</v>
      </c>
      <c r="B8" s="682">
        <v>45550</v>
      </c>
      <c r="C8" s="683">
        <v>757020</v>
      </c>
      <c r="D8" s="683">
        <v>1556220</v>
      </c>
      <c r="E8" s="683">
        <v>767010</v>
      </c>
      <c r="F8" s="684">
        <v>1633920</v>
      </c>
      <c r="G8" s="42"/>
      <c r="H8" s="559">
        <v>0.95</v>
      </c>
      <c r="I8" s="4"/>
      <c r="J8" s="12"/>
      <c r="K8" s="122"/>
      <c r="L8" s="4"/>
    </row>
    <row r="9" spans="1:17" x14ac:dyDescent="0.2">
      <c r="A9" s="431"/>
      <c r="B9" s="112"/>
      <c r="C9" s="6"/>
      <c r="D9" s="6"/>
      <c r="E9" s="6"/>
      <c r="F9" s="6"/>
      <c r="G9" s="8">
        <f t="shared" ref="G9:G19" si="0">C9*4+D9*12+E9*4+F9*12</f>
        <v>0</v>
      </c>
      <c r="H9" s="8">
        <f>(F9*F$8+C9*C$8+D9*D$8+E9*E$8)*H$8</f>
        <v>0</v>
      </c>
      <c r="I9" s="8">
        <f>C9+D9+E9+F9</f>
        <v>0</v>
      </c>
      <c r="J9" s="9">
        <f>J4-I9</f>
        <v>250</v>
      </c>
      <c r="K9" s="122"/>
      <c r="L9" s="15">
        <f t="shared" ref="L9:L19" si="1">K9-A9</f>
        <v>0</v>
      </c>
    </row>
    <row r="10" spans="1:17" x14ac:dyDescent="0.2">
      <c r="A10" s="431"/>
      <c r="B10" s="435"/>
      <c r="C10" s="6"/>
      <c r="D10" s="6"/>
      <c r="E10" s="6"/>
      <c r="F10" s="6"/>
      <c r="G10" s="8">
        <f t="shared" si="0"/>
        <v>0</v>
      </c>
      <c r="H10" s="8">
        <f t="shared" ref="H10:H19" si="2">(F10*F$8+C10*C$8+D10*D$8+E10*E$8)*H$8</f>
        <v>0</v>
      </c>
      <c r="I10" s="8">
        <f t="shared" ref="I10:I19" si="3">C10+D10+E10+F10</f>
        <v>0</v>
      </c>
      <c r="J10" s="9">
        <f>J9-I10</f>
        <v>250</v>
      </c>
      <c r="K10" s="122"/>
      <c r="L10" s="15">
        <f t="shared" si="1"/>
        <v>0</v>
      </c>
    </row>
    <row r="11" spans="1:17" x14ac:dyDescent="0.2">
      <c r="A11" s="431"/>
      <c r="B11" s="435"/>
      <c r="C11" s="6"/>
      <c r="D11" s="6"/>
      <c r="E11" s="6"/>
      <c r="F11" s="6"/>
      <c r="G11" s="8">
        <f t="shared" si="0"/>
        <v>0</v>
      </c>
      <c r="H11" s="8">
        <f t="shared" si="2"/>
        <v>0</v>
      </c>
      <c r="I11" s="8">
        <f t="shared" si="3"/>
        <v>0</v>
      </c>
      <c r="J11" s="9">
        <f>J10-I11</f>
        <v>250</v>
      </c>
      <c r="K11" s="122"/>
      <c r="L11" s="15">
        <f t="shared" si="1"/>
        <v>0</v>
      </c>
    </row>
    <row r="12" spans="1:17" x14ac:dyDescent="0.2">
      <c r="A12" s="431"/>
      <c r="B12" s="435"/>
      <c r="C12" s="6"/>
      <c r="D12" s="6"/>
      <c r="E12" s="6"/>
      <c r="F12" s="6"/>
      <c r="G12" s="8">
        <f t="shared" si="0"/>
        <v>0</v>
      </c>
      <c r="H12" s="8">
        <f t="shared" si="2"/>
        <v>0</v>
      </c>
      <c r="I12" s="8">
        <f t="shared" si="3"/>
        <v>0</v>
      </c>
      <c r="J12" s="9">
        <f>J11-I12</f>
        <v>250</v>
      </c>
      <c r="K12" s="122"/>
      <c r="L12" s="15">
        <f t="shared" si="1"/>
        <v>0</v>
      </c>
    </row>
    <row r="13" spans="1:17" x14ac:dyDescent="0.2">
      <c r="A13" s="431"/>
      <c r="B13" s="435"/>
      <c r="C13" s="6"/>
      <c r="D13" s="6"/>
      <c r="E13" s="6"/>
      <c r="F13" s="6"/>
      <c r="G13" s="8">
        <f t="shared" si="0"/>
        <v>0</v>
      </c>
      <c r="H13" s="8">
        <f t="shared" si="2"/>
        <v>0</v>
      </c>
      <c r="I13" s="8">
        <f t="shared" si="3"/>
        <v>0</v>
      </c>
      <c r="J13" s="9">
        <f t="shared" ref="J13:J19" si="4">J12-I13</f>
        <v>250</v>
      </c>
      <c r="K13" s="122"/>
      <c r="L13" s="15">
        <f t="shared" si="1"/>
        <v>0</v>
      </c>
    </row>
    <row r="14" spans="1:17" x14ac:dyDescent="0.2">
      <c r="A14" s="431"/>
      <c r="B14" s="435"/>
      <c r="C14" s="6"/>
      <c r="D14" s="6"/>
      <c r="E14" s="6"/>
      <c r="F14" s="6"/>
      <c r="G14" s="8">
        <f t="shared" si="0"/>
        <v>0</v>
      </c>
      <c r="H14" s="8">
        <f t="shared" si="2"/>
        <v>0</v>
      </c>
      <c r="I14" s="8">
        <f t="shared" si="3"/>
        <v>0</v>
      </c>
      <c r="J14" s="9">
        <f t="shared" si="4"/>
        <v>250</v>
      </c>
      <c r="K14" s="122"/>
      <c r="L14" s="15">
        <f t="shared" si="1"/>
        <v>0</v>
      </c>
    </row>
    <row r="15" spans="1:17" x14ac:dyDescent="0.2">
      <c r="A15" s="431"/>
      <c r="B15" s="435"/>
      <c r="C15" s="6"/>
      <c r="D15" s="6"/>
      <c r="E15" s="6"/>
      <c r="F15" s="6"/>
      <c r="G15" s="8">
        <f t="shared" si="0"/>
        <v>0</v>
      </c>
      <c r="H15" s="8">
        <f t="shared" si="2"/>
        <v>0</v>
      </c>
      <c r="I15" s="8">
        <f t="shared" si="3"/>
        <v>0</v>
      </c>
      <c r="J15" s="9">
        <f t="shared" si="4"/>
        <v>250</v>
      </c>
      <c r="K15" s="122"/>
      <c r="L15" s="15">
        <f t="shared" si="1"/>
        <v>0</v>
      </c>
    </row>
    <row r="16" spans="1:17" x14ac:dyDescent="0.2">
      <c r="A16" s="431"/>
      <c r="B16" s="435"/>
      <c r="C16" s="6"/>
      <c r="D16" s="6"/>
      <c r="E16" s="6"/>
      <c r="F16" s="6"/>
      <c r="G16" s="8">
        <f t="shared" si="0"/>
        <v>0</v>
      </c>
      <c r="H16" s="8">
        <f t="shared" si="2"/>
        <v>0</v>
      </c>
      <c r="I16" s="8">
        <f t="shared" si="3"/>
        <v>0</v>
      </c>
      <c r="J16" s="9">
        <f t="shared" si="4"/>
        <v>250</v>
      </c>
      <c r="K16" s="122"/>
      <c r="L16" s="15">
        <f t="shared" si="1"/>
        <v>0</v>
      </c>
    </row>
    <row r="17" spans="1:16" x14ac:dyDescent="0.2">
      <c r="A17" s="431"/>
      <c r="B17" s="435"/>
      <c r="C17" s="6"/>
      <c r="D17" s="6"/>
      <c r="E17" s="6"/>
      <c r="F17" s="6"/>
      <c r="G17" s="8">
        <f t="shared" si="0"/>
        <v>0</v>
      </c>
      <c r="H17" s="8">
        <f t="shared" si="2"/>
        <v>0</v>
      </c>
      <c r="I17" s="8">
        <f t="shared" si="3"/>
        <v>0</v>
      </c>
      <c r="J17" s="9">
        <f t="shared" si="4"/>
        <v>250</v>
      </c>
      <c r="K17" s="122"/>
      <c r="L17" s="15">
        <f t="shared" si="1"/>
        <v>0</v>
      </c>
    </row>
    <row r="18" spans="1:16" x14ac:dyDescent="0.2">
      <c r="A18" s="431"/>
      <c r="B18" s="435"/>
      <c r="C18" s="6"/>
      <c r="D18" s="6"/>
      <c r="E18" s="6"/>
      <c r="F18" s="6"/>
      <c r="G18" s="8">
        <f t="shared" si="0"/>
        <v>0</v>
      </c>
      <c r="H18" s="8">
        <f t="shared" si="2"/>
        <v>0</v>
      </c>
      <c r="I18" s="8">
        <f t="shared" si="3"/>
        <v>0</v>
      </c>
      <c r="J18" s="9">
        <f t="shared" si="4"/>
        <v>250</v>
      </c>
      <c r="K18" s="122"/>
      <c r="L18" s="15">
        <f t="shared" si="1"/>
        <v>0</v>
      </c>
    </row>
    <row r="19" spans="1:16" x14ac:dyDescent="0.2">
      <c r="A19" s="431"/>
      <c r="B19" s="435"/>
      <c r="C19" s="6"/>
      <c r="D19" s="6"/>
      <c r="E19" s="6"/>
      <c r="F19" s="6"/>
      <c r="G19" s="8">
        <f t="shared" si="0"/>
        <v>0</v>
      </c>
      <c r="H19" s="8">
        <f t="shared" si="2"/>
        <v>0</v>
      </c>
      <c r="I19" s="8">
        <f t="shared" si="3"/>
        <v>0</v>
      </c>
      <c r="J19" s="9">
        <f t="shared" si="4"/>
        <v>250</v>
      </c>
      <c r="K19" s="122"/>
      <c r="L19" s="15">
        <f t="shared" si="1"/>
        <v>0</v>
      </c>
    </row>
    <row r="20" spans="1:16" x14ac:dyDescent="0.2">
      <c r="A20" s="731" t="s">
        <v>18</v>
      </c>
      <c r="B20" s="732"/>
      <c r="C20" s="7">
        <f t="shared" ref="C20:I20" si="5">SUM(C9:C19)</f>
        <v>0</v>
      </c>
      <c r="D20" s="7">
        <f t="shared" si="5"/>
        <v>0</v>
      </c>
      <c r="E20" s="7">
        <f t="shared" si="5"/>
        <v>0</v>
      </c>
      <c r="F20" s="7">
        <f t="shared" si="5"/>
        <v>0</v>
      </c>
      <c r="G20" s="404">
        <f t="shared" si="5"/>
        <v>0</v>
      </c>
      <c r="H20" s="79">
        <f t="shared" si="5"/>
        <v>0</v>
      </c>
      <c r="I20" s="50">
        <f t="shared" si="5"/>
        <v>0</v>
      </c>
      <c r="J20" s="9">
        <f>J4-I20</f>
        <v>250</v>
      </c>
      <c r="K20" s="121"/>
      <c r="L20" s="4"/>
    </row>
    <row r="21" spans="1:16" x14ac:dyDescent="0.2">
      <c r="A21" s="4"/>
      <c r="B21" s="121"/>
      <c r="C21" s="7"/>
      <c r="D21" s="7"/>
      <c r="E21" s="7"/>
      <c r="F21" s="7"/>
      <c r="G21" s="8"/>
      <c r="H21" s="56" t="s">
        <v>46</v>
      </c>
      <c r="I21" s="62">
        <f>I20/J4%</f>
        <v>0</v>
      </c>
      <c r="J21" s="55">
        <f>J20/J4%</f>
        <v>100</v>
      </c>
      <c r="K21" s="121"/>
      <c r="L21" s="4"/>
    </row>
    <row r="23" spans="1:16" ht="15" x14ac:dyDescent="0.25">
      <c r="A23" s="171" t="s">
        <v>0</v>
      </c>
      <c r="B23" s="760" t="s">
        <v>253</v>
      </c>
      <c r="C23" s="761"/>
      <c r="D23" s="761"/>
      <c r="E23" s="761"/>
      <c r="F23" s="761"/>
      <c r="G23" s="761"/>
      <c r="H23" s="761"/>
      <c r="I23" s="762"/>
      <c r="J23" s="70" t="s">
        <v>11</v>
      </c>
      <c r="K23" s="739" t="s">
        <v>15</v>
      </c>
      <c r="L23" s="739"/>
      <c r="M23" s="335"/>
      <c r="N23" s="335"/>
      <c r="O23" s="335"/>
      <c r="P23" s="335"/>
    </row>
    <row r="24" spans="1:16" ht="14.25" x14ac:dyDescent="0.2">
      <c r="A24" s="93" t="s">
        <v>1</v>
      </c>
      <c r="B24" s="836" t="s">
        <v>271</v>
      </c>
      <c r="C24" s="836"/>
      <c r="D24" s="836"/>
      <c r="E24" s="836"/>
      <c r="F24" s="836"/>
      <c r="G24" s="836"/>
      <c r="H24" s="836"/>
      <c r="I24" s="836"/>
      <c r="J24" s="69">
        <v>200</v>
      </c>
      <c r="K24" s="739"/>
      <c r="L24" s="739"/>
    </row>
    <row r="25" spans="1:16" x14ac:dyDescent="0.2">
      <c r="A25" s="801" t="s">
        <v>3</v>
      </c>
      <c r="B25" s="801" t="s">
        <v>126</v>
      </c>
      <c r="C25" s="731" t="s">
        <v>19</v>
      </c>
      <c r="D25" s="837"/>
      <c r="E25" s="837"/>
      <c r="F25" s="732"/>
      <c r="G25" s="10" t="s">
        <v>34</v>
      </c>
      <c r="H25" s="838" t="s">
        <v>31</v>
      </c>
      <c r="I25" s="839"/>
      <c r="J25" s="81" t="s">
        <v>12</v>
      </c>
      <c r="K25" s="726" t="s">
        <v>3</v>
      </c>
      <c r="L25" s="4" t="s">
        <v>13</v>
      </c>
    </row>
    <row r="26" spans="1:16" x14ac:dyDescent="0.2">
      <c r="A26" s="802"/>
      <c r="B26" s="802"/>
      <c r="C26" s="22" t="s">
        <v>175</v>
      </c>
      <c r="D26" s="22" t="s">
        <v>176</v>
      </c>
      <c r="E26" s="22" t="s">
        <v>175</v>
      </c>
      <c r="F26" s="22" t="s">
        <v>174</v>
      </c>
      <c r="G26" s="67" t="s">
        <v>9</v>
      </c>
      <c r="H26" s="80" t="s">
        <v>8</v>
      </c>
      <c r="I26" s="457" t="s">
        <v>23</v>
      </c>
      <c r="J26" s="457" t="s">
        <v>23</v>
      </c>
      <c r="K26" s="726"/>
      <c r="L26" s="4" t="s">
        <v>14</v>
      </c>
    </row>
    <row r="27" spans="1:16" x14ac:dyDescent="0.2">
      <c r="A27" s="607"/>
      <c r="B27" s="593"/>
      <c r="C27" s="591" t="s">
        <v>257</v>
      </c>
      <c r="D27" s="592" t="s">
        <v>257</v>
      </c>
      <c r="E27" s="592" t="s">
        <v>258</v>
      </c>
      <c r="F27" s="592" t="s">
        <v>258</v>
      </c>
      <c r="G27" s="42"/>
      <c r="H27" s="681"/>
      <c r="I27" s="4"/>
      <c r="J27" s="12"/>
      <c r="K27" s="122"/>
      <c r="L27" s="4"/>
    </row>
    <row r="28" spans="1:16" x14ac:dyDescent="0.2">
      <c r="A28" s="12" t="s">
        <v>208</v>
      </c>
      <c r="B28" s="682">
        <v>45931</v>
      </c>
      <c r="C28" s="683">
        <v>799200</v>
      </c>
      <c r="D28" s="683">
        <v>1605060</v>
      </c>
      <c r="E28" s="683">
        <v>821400</v>
      </c>
      <c r="F28" s="684">
        <v>1704960</v>
      </c>
      <c r="G28" s="42"/>
      <c r="H28" s="681"/>
      <c r="I28" s="4"/>
      <c r="J28" s="12"/>
      <c r="K28" s="122"/>
      <c r="L28" s="4"/>
    </row>
    <row r="29" spans="1:16" x14ac:dyDescent="0.2">
      <c r="A29" s="431">
        <v>46051</v>
      </c>
      <c r="B29" s="112">
        <v>24330</v>
      </c>
      <c r="C29" s="6">
        <v>0</v>
      </c>
      <c r="D29" s="283">
        <v>1</v>
      </c>
      <c r="E29" s="283">
        <v>1</v>
      </c>
      <c r="F29" s="6">
        <v>1</v>
      </c>
      <c r="G29" s="8">
        <f t="shared" ref="G29:G35" si="6">C29*4+D29*4+E29*12+F29*12</f>
        <v>28</v>
      </c>
      <c r="H29" s="8">
        <f>(F29*F$28+C29*C$28+D29*D$28+E29*E$28)</f>
        <v>4131420</v>
      </c>
      <c r="I29" s="8">
        <f t="shared" ref="I29:I35" si="7">C29+D29+E29+F29</f>
        <v>3</v>
      </c>
      <c r="J29" s="9">
        <f>J24-I29</f>
        <v>197</v>
      </c>
      <c r="K29" s="122">
        <f>'[1]Area I '!$D$48</f>
        <v>46078</v>
      </c>
      <c r="L29" s="15">
        <f t="shared" ref="L29:L35" si="8">K29-A29</f>
        <v>27</v>
      </c>
    </row>
    <row r="30" spans="1:16" x14ac:dyDescent="0.2">
      <c r="A30" s="431">
        <v>46071</v>
      </c>
      <c r="B30" s="112">
        <v>24336</v>
      </c>
      <c r="C30" s="6">
        <v>1</v>
      </c>
      <c r="D30" s="6">
        <v>0</v>
      </c>
      <c r="E30" s="6">
        <v>1</v>
      </c>
      <c r="F30" s="6">
        <v>0</v>
      </c>
      <c r="G30" s="8">
        <f t="shared" si="6"/>
        <v>16</v>
      </c>
      <c r="H30" s="8">
        <f t="shared" ref="H30:H48" si="9">(F30*F$28+C30*C$28+D30*D$28+E30*E$28)</f>
        <v>1620600</v>
      </c>
      <c r="I30" s="8">
        <f t="shared" si="7"/>
        <v>2</v>
      </c>
      <c r="J30" s="9">
        <f t="shared" ref="J30:J35" si="10">J29-I30</f>
        <v>195</v>
      </c>
      <c r="K30" s="122">
        <f>'[1]Area I '!$D$49</f>
        <v>46094</v>
      </c>
      <c r="L30" s="15">
        <f t="shared" si="8"/>
        <v>23</v>
      </c>
    </row>
    <row r="31" spans="1:16" x14ac:dyDescent="0.2">
      <c r="A31" s="431">
        <v>46094</v>
      </c>
      <c r="B31" s="432">
        <v>24340</v>
      </c>
      <c r="C31" s="6">
        <v>1</v>
      </c>
      <c r="D31" s="6">
        <v>1</v>
      </c>
      <c r="E31" s="6">
        <v>1</v>
      </c>
      <c r="F31" s="6">
        <v>2</v>
      </c>
      <c r="G31" s="8">
        <f t="shared" si="6"/>
        <v>44</v>
      </c>
      <c r="H31" s="8">
        <f t="shared" si="9"/>
        <v>6635580</v>
      </c>
      <c r="I31" s="8">
        <f t="shared" si="7"/>
        <v>5</v>
      </c>
      <c r="J31" s="9">
        <f t="shared" si="10"/>
        <v>190</v>
      </c>
      <c r="K31" s="122">
        <f>'[1]Area I '!$D$50</f>
        <v>0</v>
      </c>
      <c r="L31" s="15">
        <f t="shared" si="8"/>
        <v>-46094</v>
      </c>
    </row>
    <row r="32" spans="1:16" x14ac:dyDescent="0.2">
      <c r="A32" s="431"/>
      <c r="B32" s="435"/>
      <c r="C32" s="6"/>
      <c r="D32" s="283"/>
      <c r="E32" s="6"/>
      <c r="F32" s="6"/>
      <c r="G32" s="8">
        <f t="shared" si="6"/>
        <v>0</v>
      </c>
      <c r="H32" s="8">
        <f t="shared" si="9"/>
        <v>0</v>
      </c>
      <c r="I32" s="8">
        <f t="shared" si="7"/>
        <v>0</v>
      </c>
      <c r="J32" s="9">
        <f t="shared" si="10"/>
        <v>190</v>
      </c>
      <c r="K32" s="122"/>
      <c r="L32" s="15">
        <f t="shared" si="8"/>
        <v>0</v>
      </c>
    </row>
    <row r="33" spans="1:12" x14ac:dyDescent="0.2">
      <c r="A33" s="431"/>
      <c r="B33" s="435"/>
      <c r="C33" s="6"/>
      <c r="D33" s="6"/>
      <c r="E33" s="6"/>
      <c r="F33" s="6"/>
      <c r="G33" s="8">
        <f t="shared" si="6"/>
        <v>0</v>
      </c>
      <c r="H33" s="8">
        <f t="shared" si="9"/>
        <v>0</v>
      </c>
      <c r="I33" s="8">
        <f t="shared" si="7"/>
        <v>0</v>
      </c>
      <c r="J33" s="9">
        <f t="shared" si="10"/>
        <v>190</v>
      </c>
      <c r="K33" s="122"/>
      <c r="L33" s="15">
        <f t="shared" si="8"/>
        <v>0</v>
      </c>
    </row>
    <row r="34" spans="1:12" x14ac:dyDescent="0.2">
      <c r="A34" s="431"/>
      <c r="B34" s="435"/>
      <c r="C34" s="6"/>
      <c r="D34" s="6"/>
      <c r="E34" s="6"/>
      <c r="F34" s="6"/>
      <c r="G34" s="8">
        <f t="shared" si="6"/>
        <v>0</v>
      </c>
      <c r="H34" s="8">
        <f t="shared" si="9"/>
        <v>0</v>
      </c>
      <c r="I34" s="8">
        <f t="shared" si="7"/>
        <v>0</v>
      </c>
      <c r="J34" s="9">
        <f t="shared" si="10"/>
        <v>190</v>
      </c>
      <c r="K34" s="122"/>
      <c r="L34" s="15">
        <f t="shared" si="8"/>
        <v>0</v>
      </c>
    </row>
    <row r="35" spans="1:12" x14ac:dyDescent="0.2">
      <c r="A35" s="431"/>
      <c r="B35" s="435"/>
      <c r="C35" s="6"/>
      <c r="D35" s="6"/>
      <c r="E35" s="6"/>
      <c r="F35" s="6"/>
      <c r="G35" s="8">
        <f t="shared" si="6"/>
        <v>0</v>
      </c>
      <c r="H35" s="8">
        <f t="shared" si="9"/>
        <v>0</v>
      </c>
      <c r="I35" s="8">
        <f t="shared" si="7"/>
        <v>0</v>
      </c>
      <c r="J35" s="9">
        <f t="shared" si="10"/>
        <v>190</v>
      </c>
      <c r="K35" s="122"/>
      <c r="L35" s="15">
        <f t="shared" si="8"/>
        <v>0</v>
      </c>
    </row>
    <row r="36" spans="1:12" x14ac:dyDescent="0.2">
      <c r="A36" s="431"/>
      <c r="B36" s="435"/>
      <c r="C36" s="6"/>
      <c r="D36" s="6"/>
      <c r="E36" s="6"/>
      <c r="F36" s="6"/>
      <c r="G36" s="8">
        <f t="shared" ref="G36:G44" si="11">C36*4+D36*4+E36*12+F36*12</f>
        <v>0</v>
      </c>
      <c r="H36" s="8">
        <f t="shared" si="9"/>
        <v>0</v>
      </c>
      <c r="I36" s="8">
        <f t="shared" ref="I36:I44" si="12">C36+D36+E36+F36</f>
        <v>0</v>
      </c>
      <c r="J36" s="9">
        <f t="shared" ref="J36:J44" si="13">J35-I36</f>
        <v>190</v>
      </c>
      <c r="K36" s="122"/>
      <c r="L36" s="15">
        <f t="shared" ref="L36:L44" si="14">K36-A36</f>
        <v>0</v>
      </c>
    </row>
    <row r="37" spans="1:12" x14ac:dyDescent="0.2">
      <c r="A37" s="431"/>
      <c r="B37" s="435"/>
      <c r="C37" s="6"/>
      <c r="D37" s="6"/>
      <c r="E37" s="6"/>
      <c r="F37" s="6"/>
      <c r="G37" s="8">
        <f t="shared" si="11"/>
        <v>0</v>
      </c>
      <c r="H37" s="8">
        <f t="shared" si="9"/>
        <v>0</v>
      </c>
      <c r="I37" s="8">
        <f t="shared" si="12"/>
        <v>0</v>
      </c>
      <c r="J37" s="9">
        <f t="shared" si="13"/>
        <v>190</v>
      </c>
      <c r="K37" s="122"/>
      <c r="L37" s="15">
        <f t="shared" si="14"/>
        <v>0</v>
      </c>
    </row>
    <row r="38" spans="1:12" x14ac:dyDescent="0.2">
      <c r="A38" s="431"/>
      <c r="B38" s="435"/>
      <c r="C38" s="6"/>
      <c r="D38" s="6"/>
      <c r="E38" s="6"/>
      <c r="F38" s="6"/>
      <c r="G38" s="8">
        <f t="shared" si="11"/>
        <v>0</v>
      </c>
      <c r="H38" s="8">
        <f t="shared" si="9"/>
        <v>0</v>
      </c>
      <c r="I38" s="8">
        <f t="shared" si="12"/>
        <v>0</v>
      </c>
      <c r="J38" s="9">
        <f t="shared" si="13"/>
        <v>190</v>
      </c>
      <c r="K38" s="122"/>
      <c r="L38" s="15">
        <f t="shared" si="14"/>
        <v>0</v>
      </c>
    </row>
    <row r="39" spans="1:12" x14ac:dyDescent="0.2">
      <c r="A39" s="431"/>
      <c r="B39" s="435"/>
      <c r="C39" s="6"/>
      <c r="D39" s="6"/>
      <c r="E39" s="6"/>
      <c r="F39" s="6"/>
      <c r="G39" s="8">
        <f t="shared" si="11"/>
        <v>0</v>
      </c>
      <c r="H39" s="8">
        <f t="shared" si="9"/>
        <v>0</v>
      </c>
      <c r="I39" s="8">
        <f t="shared" si="12"/>
        <v>0</v>
      </c>
      <c r="J39" s="9">
        <f t="shared" si="13"/>
        <v>190</v>
      </c>
      <c r="K39" s="122"/>
      <c r="L39" s="15">
        <f t="shared" si="14"/>
        <v>0</v>
      </c>
    </row>
    <row r="40" spans="1:12" x14ac:dyDescent="0.2">
      <c r="A40" s="431"/>
      <c r="B40" s="435"/>
      <c r="C40" s="6"/>
      <c r="D40" s="6"/>
      <c r="E40" s="6"/>
      <c r="F40" s="6"/>
      <c r="G40" s="8">
        <f t="shared" si="11"/>
        <v>0</v>
      </c>
      <c r="H40" s="8">
        <f t="shared" si="9"/>
        <v>0</v>
      </c>
      <c r="I40" s="8">
        <f t="shared" si="12"/>
        <v>0</v>
      </c>
      <c r="J40" s="9">
        <f t="shared" si="13"/>
        <v>190</v>
      </c>
      <c r="K40" s="122"/>
      <c r="L40" s="15">
        <f t="shared" si="14"/>
        <v>0</v>
      </c>
    </row>
    <row r="41" spans="1:12" x14ac:dyDescent="0.2">
      <c r="A41" s="431"/>
      <c r="B41" s="435"/>
      <c r="C41" s="6"/>
      <c r="D41" s="6"/>
      <c r="E41" s="6"/>
      <c r="F41" s="6"/>
      <c r="G41" s="8">
        <f t="shared" si="11"/>
        <v>0</v>
      </c>
      <c r="H41" s="8">
        <f t="shared" si="9"/>
        <v>0</v>
      </c>
      <c r="I41" s="8">
        <f t="shared" si="12"/>
        <v>0</v>
      </c>
      <c r="J41" s="9">
        <f t="shared" si="13"/>
        <v>190</v>
      </c>
      <c r="K41" s="122"/>
      <c r="L41" s="15">
        <f t="shared" si="14"/>
        <v>0</v>
      </c>
    </row>
    <row r="42" spans="1:12" x14ac:dyDescent="0.2">
      <c r="A42" s="431"/>
      <c r="B42" s="435"/>
      <c r="C42" s="6"/>
      <c r="D42" s="6"/>
      <c r="E42" s="6"/>
      <c r="F42" s="6"/>
      <c r="G42" s="8">
        <f t="shared" si="11"/>
        <v>0</v>
      </c>
      <c r="H42" s="8">
        <f t="shared" si="9"/>
        <v>0</v>
      </c>
      <c r="I42" s="8">
        <f t="shared" si="12"/>
        <v>0</v>
      </c>
      <c r="J42" s="9">
        <f t="shared" si="13"/>
        <v>190</v>
      </c>
      <c r="K42" s="122"/>
      <c r="L42" s="15">
        <f t="shared" si="14"/>
        <v>0</v>
      </c>
    </row>
    <row r="43" spans="1:12" x14ac:dyDescent="0.2">
      <c r="A43" s="431"/>
      <c r="B43" s="435"/>
      <c r="C43" s="6"/>
      <c r="D43" s="6"/>
      <c r="E43" s="6"/>
      <c r="F43" s="6"/>
      <c r="G43" s="8">
        <f t="shared" si="11"/>
        <v>0</v>
      </c>
      <c r="H43" s="8">
        <f t="shared" si="9"/>
        <v>0</v>
      </c>
      <c r="I43" s="8">
        <f t="shared" si="12"/>
        <v>0</v>
      </c>
      <c r="J43" s="9">
        <f t="shared" si="13"/>
        <v>190</v>
      </c>
      <c r="K43" s="122"/>
      <c r="L43" s="15">
        <f t="shared" si="14"/>
        <v>0</v>
      </c>
    </row>
    <row r="44" spans="1:12" x14ac:dyDescent="0.2">
      <c r="A44" s="431"/>
      <c r="B44" s="435"/>
      <c r="C44" s="6"/>
      <c r="D44" s="6"/>
      <c r="E44" s="6"/>
      <c r="F44" s="6"/>
      <c r="G44" s="8">
        <f t="shared" si="11"/>
        <v>0</v>
      </c>
      <c r="H44" s="8">
        <f t="shared" si="9"/>
        <v>0</v>
      </c>
      <c r="I44" s="8">
        <f t="shared" si="12"/>
        <v>0</v>
      </c>
      <c r="J44" s="9">
        <f t="shared" si="13"/>
        <v>190</v>
      </c>
      <c r="K44" s="122"/>
      <c r="L44" s="15">
        <f t="shared" si="14"/>
        <v>0</v>
      </c>
    </row>
    <row r="45" spans="1:12" x14ac:dyDescent="0.2">
      <c r="A45" s="431"/>
      <c r="B45" s="435"/>
      <c r="C45" s="6"/>
      <c r="D45" s="6"/>
      <c r="E45" s="6"/>
      <c r="F45" s="6"/>
      <c r="G45" s="8">
        <f>C45*4+D45*4+E45*12+F45*12</f>
        <v>0</v>
      </c>
      <c r="H45" s="8">
        <f t="shared" si="9"/>
        <v>0</v>
      </c>
      <c r="I45" s="8">
        <f>C45+D45+E45+F45</f>
        <v>0</v>
      </c>
      <c r="J45" s="9">
        <f>J44-I45</f>
        <v>190</v>
      </c>
      <c r="K45" s="122"/>
      <c r="L45" s="15">
        <f>K45-A45</f>
        <v>0</v>
      </c>
    </row>
    <row r="46" spans="1:12" x14ac:dyDescent="0.2">
      <c r="A46" s="431"/>
      <c r="B46" s="435"/>
      <c r="C46" s="6"/>
      <c r="D46" s="6"/>
      <c r="E46" s="6"/>
      <c r="F46" s="6"/>
      <c r="G46" s="8">
        <f>C46*4+D46*4+E46*12+F46*12</f>
        <v>0</v>
      </c>
      <c r="H46" s="8">
        <f t="shared" si="9"/>
        <v>0</v>
      </c>
      <c r="I46" s="8">
        <f>C46+D46+E46+F46</f>
        <v>0</v>
      </c>
      <c r="J46" s="9">
        <f>J45-I46</f>
        <v>190</v>
      </c>
      <c r="K46" s="122"/>
      <c r="L46" s="15">
        <f>K46-A46</f>
        <v>0</v>
      </c>
    </row>
    <row r="47" spans="1:12" x14ac:dyDescent="0.2">
      <c r="A47" s="431"/>
      <c r="B47" s="435"/>
      <c r="C47" s="6"/>
      <c r="D47" s="6"/>
      <c r="E47" s="6"/>
      <c r="F47" s="6"/>
      <c r="G47" s="8">
        <f>C47*4+D47*4+E47*12+F47*12</f>
        <v>0</v>
      </c>
      <c r="H47" s="8">
        <f t="shared" si="9"/>
        <v>0</v>
      </c>
      <c r="I47" s="8">
        <f>C47+D47+E47+F47</f>
        <v>0</v>
      </c>
      <c r="J47" s="9">
        <f>J46-I47</f>
        <v>190</v>
      </c>
      <c r="K47" s="122"/>
      <c r="L47" s="15">
        <f>K47-A47</f>
        <v>0</v>
      </c>
    </row>
    <row r="48" spans="1:12" x14ac:dyDescent="0.2">
      <c r="A48" s="431"/>
      <c r="B48" s="435"/>
      <c r="C48" s="6"/>
      <c r="D48" s="6"/>
      <c r="E48" s="6"/>
      <c r="F48" s="6"/>
      <c r="G48" s="8">
        <f>C48*4+D48*4+E48*12+F48*12</f>
        <v>0</v>
      </c>
      <c r="H48" s="8">
        <f t="shared" si="9"/>
        <v>0</v>
      </c>
      <c r="I48" s="8">
        <f>C48+D48+E48+F48</f>
        <v>0</v>
      </c>
      <c r="J48" s="9">
        <f>J47-I48</f>
        <v>190</v>
      </c>
      <c r="K48" s="122"/>
      <c r="L48" s="15">
        <f>K48-A48</f>
        <v>0</v>
      </c>
    </row>
    <row r="49" spans="1:16" x14ac:dyDescent="0.2">
      <c r="A49" s="731" t="s">
        <v>18</v>
      </c>
      <c r="B49" s="732"/>
      <c r="C49" s="7">
        <f t="shared" ref="C49:I49" si="15">SUM(C29:C48)</f>
        <v>2</v>
      </c>
      <c r="D49" s="7">
        <f t="shared" si="15"/>
        <v>2</v>
      </c>
      <c r="E49" s="7">
        <f t="shared" si="15"/>
        <v>3</v>
      </c>
      <c r="F49" s="7">
        <f t="shared" si="15"/>
        <v>3</v>
      </c>
      <c r="G49" s="404">
        <f t="shared" si="15"/>
        <v>88</v>
      </c>
      <c r="H49" s="79">
        <f t="shared" si="15"/>
        <v>12387600</v>
      </c>
      <c r="I49" s="50">
        <f t="shared" si="15"/>
        <v>10</v>
      </c>
      <c r="J49" s="9">
        <f>J24-I49</f>
        <v>190</v>
      </c>
      <c r="K49" s="121"/>
      <c r="L49" s="4"/>
    </row>
    <row r="50" spans="1:16" x14ac:dyDescent="0.2">
      <c r="A50" s="4"/>
      <c r="B50" s="121"/>
      <c r="C50" s="7"/>
      <c r="D50" s="7"/>
      <c r="E50" s="7"/>
      <c r="F50" s="7"/>
      <c r="G50" s="8"/>
      <c r="H50" s="56" t="s">
        <v>46</v>
      </c>
      <c r="I50" s="62">
        <f>I49/J24%</f>
        <v>5</v>
      </c>
      <c r="J50" s="55">
        <f>J49/J24%</f>
        <v>95</v>
      </c>
      <c r="K50" s="121"/>
      <c r="L50" s="4"/>
    </row>
    <row r="51" spans="1:16" x14ac:dyDescent="0.2">
      <c r="C51" s="665"/>
      <c r="D51" s="665"/>
      <c r="E51" s="665"/>
      <c r="F51" s="665"/>
      <c r="G51" s="666"/>
      <c r="H51" s="2"/>
      <c r="I51" s="2"/>
      <c r="J51" s="2"/>
    </row>
    <row r="53" spans="1:16" ht="15" x14ac:dyDescent="0.25">
      <c r="A53" s="171" t="s">
        <v>0</v>
      </c>
      <c r="B53" s="760" t="s">
        <v>253</v>
      </c>
      <c r="C53" s="761"/>
      <c r="D53" s="761"/>
      <c r="E53" s="761"/>
      <c r="F53" s="761"/>
      <c r="G53" s="761"/>
      <c r="H53" s="761"/>
      <c r="I53" s="762"/>
      <c r="J53" s="70" t="s">
        <v>11</v>
      </c>
      <c r="K53" s="797" t="s">
        <v>15</v>
      </c>
      <c r="L53" s="798"/>
      <c r="M53" s="335"/>
      <c r="N53" s="335"/>
      <c r="O53" s="335"/>
      <c r="P53" s="335"/>
    </row>
    <row r="54" spans="1:16" ht="14.25" x14ac:dyDescent="0.2">
      <c r="A54" s="93" t="s">
        <v>1</v>
      </c>
      <c r="B54" s="841" t="s">
        <v>259</v>
      </c>
      <c r="C54" s="842"/>
      <c r="D54" s="842"/>
      <c r="E54" s="842"/>
      <c r="F54" s="842"/>
      <c r="G54" s="842"/>
      <c r="H54" s="842"/>
      <c r="I54" s="843"/>
      <c r="J54" s="69">
        <v>250</v>
      </c>
      <c r="K54" s="799"/>
      <c r="L54" s="800"/>
    </row>
    <row r="55" spans="1:16" x14ac:dyDescent="0.2">
      <c r="A55" s="801" t="s">
        <v>3</v>
      </c>
      <c r="B55" s="801" t="s">
        <v>126</v>
      </c>
      <c r="C55" s="731" t="s">
        <v>19</v>
      </c>
      <c r="D55" s="837"/>
      <c r="E55" s="837"/>
      <c r="F55" s="732"/>
      <c r="G55" s="10" t="s">
        <v>34</v>
      </c>
      <c r="H55" s="844" t="s">
        <v>31</v>
      </c>
      <c r="I55" s="839"/>
      <c r="J55" s="81" t="s">
        <v>12</v>
      </c>
      <c r="K55" s="801" t="s">
        <v>3</v>
      </c>
      <c r="L55" s="4" t="s">
        <v>13</v>
      </c>
    </row>
    <row r="56" spans="1:16" x14ac:dyDescent="0.2">
      <c r="A56" s="802"/>
      <c r="B56" s="802"/>
      <c r="C56" s="22" t="s">
        <v>175</v>
      </c>
      <c r="D56" s="22" t="s">
        <v>176</v>
      </c>
      <c r="E56" s="22" t="s">
        <v>175</v>
      </c>
      <c r="F56" s="22" t="s">
        <v>174</v>
      </c>
      <c r="G56" s="67" t="s">
        <v>9</v>
      </c>
      <c r="H56" s="80" t="s">
        <v>8</v>
      </c>
      <c r="I56" s="457" t="s">
        <v>23</v>
      </c>
      <c r="J56" s="457" t="s">
        <v>23</v>
      </c>
      <c r="K56" s="802"/>
      <c r="L56" s="4" t="s">
        <v>14</v>
      </c>
    </row>
    <row r="57" spans="1:16" x14ac:dyDescent="0.2">
      <c r="A57" s="12"/>
      <c r="B57" s="593"/>
      <c r="C57" s="591" t="s">
        <v>257</v>
      </c>
      <c r="D57" s="592" t="s">
        <v>257</v>
      </c>
      <c r="E57" s="592" t="s">
        <v>258</v>
      </c>
      <c r="F57" s="592" t="s">
        <v>258</v>
      </c>
      <c r="G57" s="42"/>
      <c r="H57" s="667"/>
      <c r="I57" s="4"/>
      <c r="J57" s="12"/>
      <c r="K57" s="122"/>
      <c r="L57" s="4"/>
    </row>
    <row r="58" spans="1:16" x14ac:dyDescent="0.2">
      <c r="A58" s="12" t="s">
        <v>208</v>
      </c>
      <c r="B58" s="682">
        <v>45550</v>
      </c>
      <c r="C58" s="683">
        <v>757020</v>
      </c>
      <c r="D58" s="683">
        <v>1556220</v>
      </c>
      <c r="E58" s="683">
        <v>767010</v>
      </c>
      <c r="F58" s="684">
        <v>1633920</v>
      </c>
      <c r="G58" s="42"/>
      <c r="H58" s="681"/>
      <c r="I58" s="4"/>
      <c r="J58" s="12"/>
      <c r="K58" s="122"/>
      <c r="L58" s="4"/>
    </row>
    <row r="59" spans="1:16" x14ac:dyDescent="0.2">
      <c r="A59" s="431"/>
      <c r="B59" s="435"/>
      <c r="C59" s="6"/>
      <c r="D59" s="6"/>
      <c r="E59" s="6"/>
      <c r="F59" s="6"/>
      <c r="G59" s="8">
        <f t="shared" ref="G59:G69" si="16">C59*4+D59*12+E59*4+F59*12</f>
        <v>0</v>
      </c>
      <c r="H59" s="8">
        <f>(F59*F$58+C59*C$58+D59*D$58+E59*E$58)</f>
        <v>0</v>
      </c>
      <c r="I59" s="8">
        <f t="shared" ref="I59:I69" si="17">C59+D59+E59+F59</f>
        <v>0</v>
      </c>
      <c r="J59" s="9">
        <f>J54-I59</f>
        <v>250</v>
      </c>
      <c r="K59" s="122"/>
      <c r="L59" s="15">
        <f t="shared" ref="L59:L69" si="18">K59-A59</f>
        <v>0</v>
      </c>
    </row>
    <row r="60" spans="1:16" x14ac:dyDescent="0.2">
      <c r="A60" s="431"/>
      <c r="B60" s="435"/>
      <c r="C60" s="6"/>
      <c r="D60" s="6"/>
      <c r="E60" s="6"/>
      <c r="F60" s="6"/>
      <c r="G60" s="8">
        <f t="shared" si="16"/>
        <v>0</v>
      </c>
      <c r="H60" s="8">
        <f t="shared" ref="H60:H69" si="19">(F60*F$58+C60*C$58+D60*D$58+E60*E$58)</f>
        <v>0</v>
      </c>
      <c r="I60" s="8">
        <f t="shared" si="17"/>
        <v>0</v>
      </c>
      <c r="J60" s="9">
        <f>J59-I60</f>
        <v>250</v>
      </c>
      <c r="K60" s="122"/>
      <c r="L60" s="15">
        <f t="shared" si="18"/>
        <v>0</v>
      </c>
    </row>
    <row r="61" spans="1:16" x14ac:dyDescent="0.2">
      <c r="A61" s="431"/>
      <c r="B61" s="435"/>
      <c r="C61" s="6"/>
      <c r="D61" s="6"/>
      <c r="E61" s="6"/>
      <c r="F61" s="6"/>
      <c r="G61" s="8">
        <f t="shared" si="16"/>
        <v>0</v>
      </c>
      <c r="H61" s="8">
        <f t="shared" si="19"/>
        <v>0</v>
      </c>
      <c r="I61" s="8">
        <f t="shared" si="17"/>
        <v>0</v>
      </c>
      <c r="J61" s="9">
        <f>J60-I61</f>
        <v>250</v>
      </c>
      <c r="K61" s="122"/>
      <c r="L61" s="15">
        <f t="shared" si="18"/>
        <v>0</v>
      </c>
    </row>
    <row r="62" spans="1:16" x14ac:dyDescent="0.2">
      <c r="A62" s="431"/>
      <c r="B62" s="435"/>
      <c r="C62" s="6"/>
      <c r="D62" s="6"/>
      <c r="E62" s="6"/>
      <c r="F62" s="6"/>
      <c r="G62" s="8">
        <f t="shared" si="16"/>
        <v>0</v>
      </c>
      <c r="H62" s="8">
        <f t="shared" si="19"/>
        <v>0</v>
      </c>
      <c r="I62" s="8">
        <f t="shared" si="17"/>
        <v>0</v>
      </c>
      <c r="J62" s="9">
        <f>J61-I62</f>
        <v>250</v>
      </c>
      <c r="K62" s="122"/>
      <c r="L62" s="15">
        <f t="shared" si="18"/>
        <v>0</v>
      </c>
    </row>
    <row r="63" spans="1:16" x14ac:dyDescent="0.2">
      <c r="A63" s="431"/>
      <c r="B63" s="435"/>
      <c r="C63" s="6"/>
      <c r="D63" s="6"/>
      <c r="E63" s="6"/>
      <c r="F63" s="6"/>
      <c r="G63" s="8">
        <f t="shared" si="16"/>
        <v>0</v>
      </c>
      <c r="H63" s="8">
        <f t="shared" si="19"/>
        <v>0</v>
      </c>
      <c r="I63" s="8">
        <f t="shared" si="17"/>
        <v>0</v>
      </c>
      <c r="J63" s="9">
        <f t="shared" ref="J63:J69" si="20">J62-I63</f>
        <v>250</v>
      </c>
      <c r="K63" s="122"/>
      <c r="L63" s="15">
        <f t="shared" si="18"/>
        <v>0</v>
      </c>
    </row>
    <row r="64" spans="1:16" x14ac:dyDescent="0.2">
      <c r="A64" s="431"/>
      <c r="B64" s="435"/>
      <c r="C64" s="6"/>
      <c r="D64" s="6"/>
      <c r="E64" s="6"/>
      <c r="F64" s="6"/>
      <c r="G64" s="8">
        <f t="shared" si="16"/>
        <v>0</v>
      </c>
      <c r="H64" s="8">
        <f t="shared" si="19"/>
        <v>0</v>
      </c>
      <c r="I64" s="8">
        <f t="shared" si="17"/>
        <v>0</v>
      </c>
      <c r="J64" s="9">
        <f t="shared" si="20"/>
        <v>250</v>
      </c>
      <c r="K64" s="122"/>
      <c r="L64" s="15">
        <f t="shared" si="18"/>
        <v>0</v>
      </c>
    </row>
    <row r="65" spans="1:16" x14ac:dyDescent="0.2">
      <c r="A65" s="431"/>
      <c r="B65" s="435"/>
      <c r="C65" s="6"/>
      <c r="D65" s="6"/>
      <c r="E65" s="6"/>
      <c r="F65" s="6"/>
      <c r="G65" s="8">
        <f t="shared" si="16"/>
        <v>0</v>
      </c>
      <c r="H65" s="8">
        <f t="shared" si="19"/>
        <v>0</v>
      </c>
      <c r="I65" s="8">
        <f t="shared" si="17"/>
        <v>0</v>
      </c>
      <c r="J65" s="9">
        <f t="shared" si="20"/>
        <v>250</v>
      </c>
      <c r="K65" s="122"/>
      <c r="L65" s="15">
        <f t="shared" si="18"/>
        <v>0</v>
      </c>
    </row>
    <row r="66" spans="1:16" x14ac:dyDescent="0.2">
      <c r="A66" s="431"/>
      <c r="B66" s="435"/>
      <c r="C66" s="6"/>
      <c r="D66" s="6"/>
      <c r="E66" s="6"/>
      <c r="F66" s="6"/>
      <c r="G66" s="8">
        <f t="shared" si="16"/>
        <v>0</v>
      </c>
      <c r="H66" s="8">
        <f t="shared" si="19"/>
        <v>0</v>
      </c>
      <c r="I66" s="8">
        <f t="shared" si="17"/>
        <v>0</v>
      </c>
      <c r="J66" s="9">
        <f t="shared" si="20"/>
        <v>250</v>
      </c>
      <c r="K66" s="122"/>
      <c r="L66" s="15">
        <f t="shared" si="18"/>
        <v>0</v>
      </c>
    </row>
    <row r="67" spans="1:16" x14ac:dyDescent="0.2">
      <c r="A67" s="431"/>
      <c r="B67" s="435"/>
      <c r="C67" s="6"/>
      <c r="D67" s="6"/>
      <c r="E67" s="6"/>
      <c r="F67" s="6"/>
      <c r="G67" s="8">
        <f t="shared" si="16"/>
        <v>0</v>
      </c>
      <c r="H67" s="8">
        <f t="shared" si="19"/>
        <v>0</v>
      </c>
      <c r="I67" s="8">
        <f t="shared" si="17"/>
        <v>0</v>
      </c>
      <c r="J67" s="9">
        <f t="shared" si="20"/>
        <v>250</v>
      </c>
      <c r="K67" s="122"/>
      <c r="L67" s="15">
        <f t="shared" si="18"/>
        <v>0</v>
      </c>
    </row>
    <row r="68" spans="1:16" x14ac:dyDescent="0.2">
      <c r="A68" s="431"/>
      <c r="B68" s="435"/>
      <c r="C68" s="6"/>
      <c r="D68" s="6"/>
      <c r="E68" s="6"/>
      <c r="F68" s="6"/>
      <c r="G68" s="8">
        <f t="shared" si="16"/>
        <v>0</v>
      </c>
      <c r="H68" s="8">
        <f t="shared" si="19"/>
        <v>0</v>
      </c>
      <c r="I68" s="8">
        <f t="shared" si="17"/>
        <v>0</v>
      </c>
      <c r="J68" s="9">
        <f t="shared" si="20"/>
        <v>250</v>
      </c>
      <c r="K68" s="122"/>
      <c r="L68" s="15">
        <f t="shared" si="18"/>
        <v>0</v>
      </c>
    </row>
    <row r="69" spans="1:16" x14ac:dyDescent="0.2">
      <c r="A69" s="431"/>
      <c r="B69" s="435"/>
      <c r="C69" s="6"/>
      <c r="D69" s="6"/>
      <c r="E69" s="6"/>
      <c r="F69" s="6"/>
      <c r="G69" s="8">
        <f t="shared" si="16"/>
        <v>0</v>
      </c>
      <c r="H69" s="8">
        <f t="shared" si="19"/>
        <v>0</v>
      </c>
      <c r="I69" s="8">
        <f t="shared" si="17"/>
        <v>0</v>
      </c>
      <c r="J69" s="9">
        <f t="shared" si="20"/>
        <v>250</v>
      </c>
      <c r="K69" s="122"/>
      <c r="L69" s="15">
        <f t="shared" si="18"/>
        <v>0</v>
      </c>
    </row>
    <row r="70" spans="1:16" x14ac:dyDescent="0.2">
      <c r="A70" s="731" t="s">
        <v>18</v>
      </c>
      <c r="B70" s="732"/>
      <c r="C70" s="7">
        <f t="shared" ref="C70:I70" si="21">SUM(C59:C69)</f>
        <v>0</v>
      </c>
      <c r="D70" s="7">
        <f t="shared" si="21"/>
        <v>0</v>
      </c>
      <c r="E70" s="7">
        <f t="shared" si="21"/>
        <v>0</v>
      </c>
      <c r="F70" s="7">
        <f t="shared" si="21"/>
        <v>0</v>
      </c>
      <c r="G70" s="404">
        <f t="shared" si="21"/>
        <v>0</v>
      </c>
      <c r="H70" s="79">
        <f t="shared" si="21"/>
        <v>0</v>
      </c>
      <c r="I70" s="50">
        <f t="shared" si="21"/>
        <v>0</v>
      </c>
      <c r="J70" s="9">
        <f>J54-I70</f>
        <v>250</v>
      </c>
      <c r="K70" s="121"/>
      <c r="L70" s="4"/>
    </row>
    <row r="71" spans="1:16" x14ac:dyDescent="0.2">
      <c r="A71" s="4"/>
      <c r="B71" s="121"/>
      <c r="C71" s="7"/>
      <c r="D71" s="7"/>
      <c r="E71" s="7"/>
      <c r="F71" s="7"/>
      <c r="G71" s="8"/>
      <c r="H71" s="56" t="s">
        <v>46</v>
      </c>
      <c r="I71" s="62">
        <f>I70/J54%</f>
        <v>0</v>
      </c>
      <c r="J71" s="55">
        <f>J70/J54%</f>
        <v>100</v>
      </c>
      <c r="K71" s="121"/>
      <c r="L71" s="4"/>
    </row>
    <row r="74" spans="1:16" ht="15" x14ac:dyDescent="0.25">
      <c r="A74" s="171" t="s">
        <v>0</v>
      </c>
      <c r="B74" s="760" t="s">
        <v>253</v>
      </c>
      <c r="C74" s="761"/>
      <c r="D74" s="761"/>
      <c r="E74" s="761"/>
      <c r="F74" s="761"/>
      <c r="G74" s="761"/>
      <c r="H74" s="761"/>
      <c r="I74" s="762"/>
      <c r="J74" s="70" t="s">
        <v>11</v>
      </c>
      <c r="K74" s="739" t="s">
        <v>15</v>
      </c>
      <c r="L74" s="739"/>
      <c r="M74" s="335"/>
      <c r="N74" s="335"/>
      <c r="O74" s="335"/>
      <c r="P74" s="335"/>
    </row>
    <row r="75" spans="1:16" ht="14.25" x14ac:dyDescent="0.2">
      <c r="A75" s="93" t="s">
        <v>1</v>
      </c>
      <c r="B75" s="836" t="s">
        <v>220</v>
      </c>
      <c r="C75" s="836"/>
      <c r="D75" s="836"/>
      <c r="E75" s="836"/>
      <c r="F75" s="836"/>
      <c r="G75" s="836"/>
      <c r="H75" s="836"/>
      <c r="I75" s="836"/>
      <c r="J75" s="69">
        <v>200</v>
      </c>
      <c r="K75" s="739"/>
      <c r="L75" s="739"/>
    </row>
    <row r="76" spans="1:16" x14ac:dyDescent="0.2">
      <c r="A76" s="801" t="s">
        <v>3</v>
      </c>
      <c r="B76" s="801" t="s">
        <v>126</v>
      </c>
      <c r="C76" s="731" t="s">
        <v>19</v>
      </c>
      <c r="D76" s="837"/>
      <c r="E76" s="837"/>
      <c r="F76" s="732"/>
      <c r="G76" s="10" t="s">
        <v>34</v>
      </c>
      <c r="H76" s="838" t="s">
        <v>31</v>
      </c>
      <c r="I76" s="839"/>
      <c r="J76" s="81" t="s">
        <v>12</v>
      </c>
      <c r="K76" s="726" t="s">
        <v>3</v>
      </c>
      <c r="L76" s="4" t="s">
        <v>13</v>
      </c>
    </row>
    <row r="77" spans="1:16" x14ac:dyDescent="0.2">
      <c r="A77" s="802"/>
      <c r="B77" s="802"/>
      <c r="C77" s="22" t="s">
        <v>175</v>
      </c>
      <c r="D77" s="22" t="s">
        <v>176</v>
      </c>
      <c r="E77" s="22" t="s">
        <v>175</v>
      </c>
      <c r="F77" s="22" t="s">
        <v>174</v>
      </c>
      <c r="G77" s="67" t="s">
        <v>9</v>
      </c>
      <c r="H77" s="80" t="s">
        <v>8</v>
      </c>
      <c r="I77" s="457" t="s">
        <v>23</v>
      </c>
      <c r="J77" s="457" t="s">
        <v>23</v>
      </c>
      <c r="K77" s="726"/>
      <c r="L77" s="4" t="s">
        <v>14</v>
      </c>
    </row>
    <row r="78" spans="1:16" x14ac:dyDescent="0.2">
      <c r="A78" s="12"/>
      <c r="B78" s="593"/>
      <c r="C78" s="591" t="s">
        <v>257</v>
      </c>
      <c r="D78" s="592" t="s">
        <v>257</v>
      </c>
      <c r="E78" s="592" t="s">
        <v>258</v>
      </c>
      <c r="F78" s="592" t="s">
        <v>258</v>
      </c>
      <c r="G78" s="42"/>
      <c r="H78" s="559"/>
      <c r="I78" s="4"/>
      <c r="J78" s="12"/>
      <c r="K78" s="122"/>
      <c r="L78" s="4"/>
    </row>
    <row r="79" spans="1:16" x14ac:dyDescent="0.2">
      <c r="A79" s="12" t="s">
        <v>208</v>
      </c>
      <c r="B79" s="682">
        <v>45931</v>
      </c>
      <c r="C79" s="683">
        <v>799200</v>
      </c>
      <c r="D79" s="683">
        <v>1605060</v>
      </c>
      <c r="E79" s="683">
        <v>821400</v>
      </c>
      <c r="F79" s="684">
        <v>1704960</v>
      </c>
      <c r="G79" s="42"/>
      <c r="H79" s="685">
        <v>0.95</v>
      </c>
      <c r="I79" s="4"/>
      <c r="J79" s="12"/>
      <c r="K79" s="122"/>
      <c r="L79" s="4"/>
    </row>
    <row r="80" spans="1:16" x14ac:dyDescent="0.2">
      <c r="A80" s="431">
        <v>46086</v>
      </c>
      <c r="B80" s="112">
        <v>24339</v>
      </c>
      <c r="C80" s="6">
        <v>0</v>
      </c>
      <c r="D80" s="6">
        <v>0</v>
      </c>
      <c r="E80" s="6">
        <v>3</v>
      </c>
      <c r="F80" s="6">
        <v>10</v>
      </c>
      <c r="G80" s="8">
        <f t="shared" ref="G80:G85" si="22">C80*4+D80*4+E80*12+F80*12</f>
        <v>156</v>
      </c>
      <c r="H80" s="8">
        <f>(F80*F$79+C80*C$79+D80*D$79+E80*E$79)*H$79</f>
        <v>18538110</v>
      </c>
      <c r="I80" s="8">
        <f t="shared" ref="I80:I85" si="23">C80+D80+E80+F80</f>
        <v>13</v>
      </c>
      <c r="J80" s="9">
        <f>J75-I80</f>
        <v>187</v>
      </c>
      <c r="K80" s="122">
        <f>'[1]Area 2'!$D$49</f>
        <v>0</v>
      </c>
      <c r="L80" s="15">
        <f t="shared" ref="L80:L86" si="24">K80-A80</f>
        <v>-46086</v>
      </c>
    </row>
    <row r="81" spans="1:12" x14ac:dyDescent="0.2">
      <c r="A81" s="431"/>
      <c r="B81" s="112"/>
      <c r="C81" s="6"/>
      <c r="D81" s="6"/>
      <c r="E81" s="6"/>
      <c r="F81" s="6"/>
      <c r="G81" s="8">
        <f t="shared" si="22"/>
        <v>0</v>
      </c>
      <c r="H81" s="8">
        <f t="shared" ref="H81:H97" si="25">(F81*F$79+C81*C$79+D81*D$79+E81*E$79)*H$79</f>
        <v>0</v>
      </c>
      <c r="I81" s="8">
        <f t="shared" si="23"/>
        <v>0</v>
      </c>
      <c r="J81" s="9">
        <f t="shared" ref="J81:J86" si="26">J80-I81</f>
        <v>187</v>
      </c>
      <c r="K81" s="122"/>
      <c r="L81" s="15">
        <f t="shared" si="24"/>
        <v>0</v>
      </c>
    </row>
    <row r="82" spans="1:12" x14ac:dyDescent="0.2">
      <c r="A82" s="431"/>
      <c r="B82" s="435"/>
      <c r="C82" s="6"/>
      <c r="D82" s="6"/>
      <c r="E82" s="6"/>
      <c r="F82" s="6"/>
      <c r="G82" s="8">
        <f t="shared" si="22"/>
        <v>0</v>
      </c>
      <c r="H82" s="8">
        <f t="shared" si="25"/>
        <v>0</v>
      </c>
      <c r="I82" s="8">
        <f t="shared" si="23"/>
        <v>0</v>
      </c>
      <c r="J82" s="9">
        <f t="shared" si="26"/>
        <v>187</v>
      </c>
      <c r="K82" s="122"/>
      <c r="L82" s="15">
        <f t="shared" si="24"/>
        <v>0</v>
      </c>
    </row>
    <row r="83" spans="1:12" x14ac:dyDescent="0.2">
      <c r="A83" s="431"/>
      <c r="B83" s="435"/>
      <c r="C83" s="6"/>
      <c r="D83" s="6"/>
      <c r="E83" s="6"/>
      <c r="F83" s="6"/>
      <c r="G83" s="8">
        <f t="shared" si="22"/>
        <v>0</v>
      </c>
      <c r="H83" s="8">
        <f t="shared" si="25"/>
        <v>0</v>
      </c>
      <c r="I83" s="8">
        <f t="shared" si="23"/>
        <v>0</v>
      </c>
      <c r="J83" s="589">
        <f t="shared" si="26"/>
        <v>187</v>
      </c>
      <c r="K83" s="122"/>
      <c r="L83" s="15">
        <f t="shared" si="24"/>
        <v>0</v>
      </c>
    </row>
    <row r="84" spans="1:12" x14ac:dyDescent="0.2">
      <c r="A84" s="604"/>
      <c r="B84" s="435"/>
      <c r="C84" s="6"/>
      <c r="D84" s="6"/>
      <c r="E84" s="6"/>
      <c r="F84" s="6"/>
      <c r="G84" s="8">
        <f t="shared" si="22"/>
        <v>0</v>
      </c>
      <c r="H84" s="8">
        <f t="shared" si="25"/>
        <v>0</v>
      </c>
      <c r="I84" s="8">
        <f t="shared" si="23"/>
        <v>0</v>
      </c>
      <c r="J84" s="589">
        <f t="shared" si="26"/>
        <v>187</v>
      </c>
      <c r="K84" s="122"/>
      <c r="L84" s="15">
        <f t="shared" si="24"/>
        <v>0</v>
      </c>
    </row>
    <row r="85" spans="1:12" x14ac:dyDescent="0.2">
      <c r="A85" s="431"/>
      <c r="B85" s="435"/>
      <c r="C85" s="6"/>
      <c r="D85" s="6"/>
      <c r="E85" s="6"/>
      <c r="F85" s="6"/>
      <c r="G85" s="8">
        <f t="shared" si="22"/>
        <v>0</v>
      </c>
      <c r="H85" s="8">
        <f t="shared" si="25"/>
        <v>0</v>
      </c>
      <c r="I85" s="8">
        <f t="shared" si="23"/>
        <v>0</v>
      </c>
      <c r="J85" s="589">
        <f t="shared" si="26"/>
        <v>187</v>
      </c>
      <c r="K85" s="122"/>
      <c r="L85" s="15">
        <f t="shared" si="24"/>
        <v>0</v>
      </c>
    </row>
    <row r="86" spans="1:12" x14ac:dyDescent="0.2">
      <c r="A86" s="431"/>
      <c r="B86" s="435"/>
      <c r="C86" s="6"/>
      <c r="D86" s="6"/>
      <c r="E86" s="6"/>
      <c r="F86" s="6"/>
      <c r="G86" s="8">
        <f t="shared" ref="G86:G91" si="27">C86*4+D86*4+E86*12+F86*12</f>
        <v>0</v>
      </c>
      <c r="H86" s="8">
        <f t="shared" si="25"/>
        <v>0</v>
      </c>
      <c r="I86" s="8">
        <f t="shared" ref="I86:I91" si="28">C86+D86+E86+F86</f>
        <v>0</v>
      </c>
      <c r="J86" s="589">
        <f t="shared" si="26"/>
        <v>187</v>
      </c>
      <c r="K86" s="122"/>
      <c r="L86" s="15">
        <f t="shared" si="24"/>
        <v>0</v>
      </c>
    </row>
    <row r="87" spans="1:12" x14ac:dyDescent="0.2">
      <c r="A87" s="431"/>
      <c r="B87" s="435"/>
      <c r="C87" s="6"/>
      <c r="D87" s="6"/>
      <c r="E87" s="6"/>
      <c r="F87" s="6"/>
      <c r="G87" s="8">
        <f t="shared" si="27"/>
        <v>0</v>
      </c>
      <c r="H87" s="8">
        <f t="shared" si="25"/>
        <v>0</v>
      </c>
      <c r="I87" s="8">
        <f t="shared" si="28"/>
        <v>0</v>
      </c>
      <c r="J87" s="589">
        <f>J86-I87</f>
        <v>187</v>
      </c>
      <c r="K87" s="122"/>
      <c r="L87" s="15">
        <f>K87-A87</f>
        <v>0</v>
      </c>
    </row>
    <row r="88" spans="1:12" x14ac:dyDescent="0.2">
      <c r="A88" s="431"/>
      <c r="B88" s="435"/>
      <c r="C88" s="6"/>
      <c r="D88" s="6"/>
      <c r="E88" s="6"/>
      <c r="F88" s="6"/>
      <c r="G88" s="8">
        <f t="shared" si="27"/>
        <v>0</v>
      </c>
      <c r="H88" s="8">
        <f t="shared" si="25"/>
        <v>0</v>
      </c>
      <c r="I88" s="8">
        <f t="shared" si="28"/>
        <v>0</v>
      </c>
      <c r="J88" s="589">
        <f>J87-I88</f>
        <v>187</v>
      </c>
      <c r="K88" s="122"/>
      <c r="L88" s="15">
        <f>K88-A88</f>
        <v>0</v>
      </c>
    </row>
    <row r="89" spans="1:12" x14ac:dyDescent="0.2">
      <c r="A89" s="431"/>
      <c r="B89" s="435"/>
      <c r="C89" s="6"/>
      <c r="D89" s="6"/>
      <c r="E89" s="6"/>
      <c r="F89" s="6"/>
      <c r="G89" s="8">
        <f t="shared" si="27"/>
        <v>0</v>
      </c>
      <c r="H89" s="8">
        <f t="shared" si="25"/>
        <v>0</v>
      </c>
      <c r="I89" s="8">
        <f t="shared" si="28"/>
        <v>0</v>
      </c>
      <c r="J89" s="589">
        <f>J88-I89</f>
        <v>187</v>
      </c>
      <c r="K89" s="122"/>
      <c r="L89" s="15">
        <f>K89-A89</f>
        <v>0</v>
      </c>
    </row>
    <row r="90" spans="1:12" x14ac:dyDescent="0.2">
      <c r="A90" s="431"/>
      <c r="B90" s="435"/>
      <c r="C90" s="6"/>
      <c r="D90" s="6"/>
      <c r="E90" s="6"/>
      <c r="F90" s="6"/>
      <c r="G90" s="8">
        <f t="shared" si="27"/>
        <v>0</v>
      </c>
      <c r="H90" s="8">
        <f t="shared" si="25"/>
        <v>0</v>
      </c>
      <c r="I90" s="8">
        <f t="shared" si="28"/>
        <v>0</v>
      </c>
      <c r="J90" s="589">
        <f>J89-I90</f>
        <v>187</v>
      </c>
      <c r="K90" s="122"/>
      <c r="L90" s="15">
        <f>K90-A90</f>
        <v>0</v>
      </c>
    </row>
    <row r="91" spans="1:12" x14ac:dyDescent="0.2">
      <c r="A91" s="431"/>
      <c r="B91" s="435"/>
      <c r="C91" s="6"/>
      <c r="D91" s="6"/>
      <c r="E91" s="6"/>
      <c r="F91" s="6"/>
      <c r="G91" s="8">
        <f t="shared" si="27"/>
        <v>0</v>
      </c>
      <c r="H91" s="8">
        <f t="shared" si="25"/>
        <v>0</v>
      </c>
      <c r="I91" s="8">
        <f t="shared" si="28"/>
        <v>0</v>
      </c>
      <c r="J91" s="589">
        <f>J90-I91</f>
        <v>187</v>
      </c>
      <c r="K91" s="122"/>
      <c r="L91" s="15">
        <f>K91-A91</f>
        <v>0</v>
      </c>
    </row>
    <row r="92" spans="1:12" x14ac:dyDescent="0.2">
      <c r="A92" s="431"/>
      <c r="B92" s="435"/>
      <c r="C92" s="6"/>
      <c r="D92" s="6"/>
      <c r="E92" s="6"/>
      <c r="F92" s="6"/>
      <c r="G92" s="8">
        <f t="shared" ref="G92:G97" si="29">C92*4+D92*4+E92*12+F92*12</f>
        <v>0</v>
      </c>
      <c r="H92" s="8">
        <f t="shared" si="25"/>
        <v>0</v>
      </c>
      <c r="I92" s="8">
        <f t="shared" ref="I92:I97" si="30">C92+D92+E92+F92</f>
        <v>0</v>
      </c>
      <c r="J92" s="589">
        <f t="shared" ref="J92:J97" si="31">J91-I92</f>
        <v>187</v>
      </c>
      <c r="K92" s="122"/>
      <c r="L92" s="15">
        <f t="shared" ref="L92:L97" si="32">K92-A92</f>
        <v>0</v>
      </c>
    </row>
    <row r="93" spans="1:12" x14ac:dyDescent="0.2">
      <c r="A93" s="431"/>
      <c r="B93" s="435"/>
      <c r="C93" s="6"/>
      <c r="D93" s="6"/>
      <c r="E93" s="6"/>
      <c r="F93" s="6"/>
      <c r="G93" s="8">
        <f t="shared" si="29"/>
        <v>0</v>
      </c>
      <c r="H93" s="8">
        <f t="shared" si="25"/>
        <v>0</v>
      </c>
      <c r="I93" s="8">
        <f t="shared" si="30"/>
        <v>0</v>
      </c>
      <c r="J93" s="589">
        <f t="shared" si="31"/>
        <v>187</v>
      </c>
      <c r="K93" s="122"/>
      <c r="L93" s="15">
        <f t="shared" si="32"/>
        <v>0</v>
      </c>
    </row>
    <row r="94" spans="1:12" x14ac:dyDescent="0.2">
      <c r="A94" s="431"/>
      <c r="B94" s="435"/>
      <c r="C94" s="6"/>
      <c r="D94" s="6"/>
      <c r="E94" s="6"/>
      <c r="F94" s="6"/>
      <c r="G94" s="8">
        <f t="shared" si="29"/>
        <v>0</v>
      </c>
      <c r="H94" s="8">
        <f t="shared" si="25"/>
        <v>0</v>
      </c>
      <c r="I94" s="8">
        <f t="shared" si="30"/>
        <v>0</v>
      </c>
      <c r="J94" s="589">
        <f t="shared" si="31"/>
        <v>187</v>
      </c>
      <c r="K94" s="122"/>
      <c r="L94" s="15">
        <f t="shared" si="32"/>
        <v>0</v>
      </c>
    </row>
    <row r="95" spans="1:12" x14ac:dyDescent="0.2">
      <c r="A95" s="431"/>
      <c r="B95" s="435"/>
      <c r="C95" s="6"/>
      <c r="D95" s="6"/>
      <c r="E95" s="6"/>
      <c r="F95" s="6"/>
      <c r="G95" s="8">
        <f t="shared" si="29"/>
        <v>0</v>
      </c>
      <c r="H95" s="8">
        <f t="shared" si="25"/>
        <v>0</v>
      </c>
      <c r="I95" s="8">
        <f t="shared" si="30"/>
        <v>0</v>
      </c>
      <c r="J95" s="589">
        <f t="shared" si="31"/>
        <v>187</v>
      </c>
      <c r="K95" s="122"/>
      <c r="L95" s="15">
        <f t="shared" si="32"/>
        <v>0</v>
      </c>
    </row>
    <row r="96" spans="1:12" x14ac:dyDescent="0.2">
      <c r="A96" s="431"/>
      <c r="B96" s="435"/>
      <c r="C96" s="6"/>
      <c r="D96" s="6"/>
      <c r="E96" s="6"/>
      <c r="F96" s="6"/>
      <c r="G96" s="8">
        <f t="shared" si="29"/>
        <v>0</v>
      </c>
      <c r="H96" s="8">
        <f t="shared" si="25"/>
        <v>0</v>
      </c>
      <c r="I96" s="8">
        <f t="shared" si="30"/>
        <v>0</v>
      </c>
      <c r="J96" s="589">
        <f t="shared" si="31"/>
        <v>187</v>
      </c>
      <c r="K96" s="122"/>
      <c r="L96" s="15">
        <f t="shared" si="32"/>
        <v>0</v>
      </c>
    </row>
    <row r="97" spans="1:13" x14ac:dyDescent="0.2">
      <c r="A97" s="431"/>
      <c r="B97" s="435"/>
      <c r="C97" s="6"/>
      <c r="D97" s="6"/>
      <c r="E97" s="6"/>
      <c r="F97" s="6"/>
      <c r="G97" s="8">
        <f t="shared" si="29"/>
        <v>0</v>
      </c>
      <c r="H97" s="8">
        <f t="shared" si="25"/>
        <v>0</v>
      </c>
      <c r="I97" s="8">
        <f t="shared" si="30"/>
        <v>0</v>
      </c>
      <c r="J97" s="589">
        <f t="shared" si="31"/>
        <v>187</v>
      </c>
      <c r="K97" s="122"/>
      <c r="L97" s="15">
        <f t="shared" si="32"/>
        <v>0</v>
      </c>
    </row>
    <row r="98" spans="1:13" x14ac:dyDescent="0.2">
      <c r="A98" s="731" t="s">
        <v>18</v>
      </c>
      <c r="B98" s="732"/>
      <c r="C98" s="7">
        <f t="shared" ref="C98:I98" si="33">SUM(C80:C97)</f>
        <v>0</v>
      </c>
      <c r="D98" s="7">
        <f t="shared" si="33"/>
        <v>0</v>
      </c>
      <c r="E98" s="7">
        <f t="shared" si="33"/>
        <v>3</v>
      </c>
      <c r="F98" s="7">
        <f t="shared" si="33"/>
        <v>10</v>
      </c>
      <c r="G98" s="404">
        <f t="shared" si="33"/>
        <v>156</v>
      </c>
      <c r="H98" s="79">
        <f t="shared" si="33"/>
        <v>18538110</v>
      </c>
      <c r="I98" s="50">
        <f t="shared" si="33"/>
        <v>13</v>
      </c>
      <c r="J98" s="589">
        <f>J75-I98</f>
        <v>187</v>
      </c>
      <c r="K98" s="121"/>
      <c r="L98" s="4"/>
    </row>
    <row r="99" spans="1:13" x14ac:dyDescent="0.2">
      <c r="A99" s="4"/>
      <c r="B99" s="121"/>
      <c r="C99" s="7"/>
      <c r="D99" s="7"/>
      <c r="E99" s="7"/>
      <c r="F99" s="7"/>
      <c r="G99" s="8"/>
      <c r="H99" s="56" t="s">
        <v>46</v>
      </c>
      <c r="I99" s="62">
        <f>I98/J75%</f>
        <v>6.5</v>
      </c>
      <c r="J99" s="55">
        <f>J98/J75%</f>
        <v>93.5</v>
      </c>
      <c r="K99" s="121"/>
      <c r="L99" s="4"/>
    </row>
    <row r="102" spans="1:13" ht="15" x14ac:dyDescent="0.25">
      <c r="A102" s="93" t="s">
        <v>0</v>
      </c>
      <c r="B102" s="760" t="s">
        <v>253</v>
      </c>
      <c r="C102" s="761"/>
      <c r="D102" s="761"/>
      <c r="E102" s="761"/>
      <c r="F102" s="761"/>
      <c r="G102" s="761"/>
      <c r="H102" s="761"/>
      <c r="I102" s="762"/>
      <c r="J102" s="70" t="s">
        <v>11</v>
      </c>
      <c r="K102" s="739" t="s">
        <v>15</v>
      </c>
      <c r="L102" s="739"/>
      <c r="M102" s="351"/>
    </row>
    <row r="103" spans="1:13" ht="14.25" x14ac:dyDescent="0.2">
      <c r="A103" s="93" t="s">
        <v>1</v>
      </c>
      <c r="B103" s="836" t="s">
        <v>219</v>
      </c>
      <c r="C103" s="836"/>
      <c r="D103" s="836"/>
      <c r="E103" s="836"/>
      <c r="F103" s="836"/>
      <c r="G103" s="836"/>
      <c r="H103" s="836"/>
      <c r="I103" s="836"/>
      <c r="J103" s="69">
        <v>400</v>
      </c>
      <c r="K103" s="739"/>
      <c r="L103" s="739"/>
    </row>
    <row r="104" spans="1:13" x14ac:dyDescent="0.2">
      <c r="A104" s="726" t="s">
        <v>3</v>
      </c>
      <c r="B104" s="726" t="s">
        <v>126</v>
      </c>
      <c r="C104" s="731" t="s">
        <v>19</v>
      </c>
      <c r="D104" s="837"/>
      <c r="E104" s="837"/>
      <c r="F104" s="732"/>
      <c r="G104" s="10" t="s">
        <v>34</v>
      </c>
      <c r="H104" s="838" t="s">
        <v>31</v>
      </c>
      <c r="I104" s="839"/>
      <c r="J104" s="81" t="s">
        <v>12</v>
      </c>
      <c r="K104" s="726" t="s">
        <v>3</v>
      </c>
      <c r="L104" s="4" t="s">
        <v>13</v>
      </c>
    </row>
    <row r="105" spans="1:13" x14ac:dyDescent="0.2">
      <c r="A105" s="726"/>
      <c r="B105" s="726"/>
      <c r="C105" s="22" t="s">
        <v>175</v>
      </c>
      <c r="D105" s="22" t="s">
        <v>176</v>
      </c>
      <c r="E105" s="22" t="s">
        <v>175</v>
      </c>
      <c r="F105" s="22" t="s">
        <v>174</v>
      </c>
      <c r="G105" s="67" t="s">
        <v>9</v>
      </c>
      <c r="H105" s="80" t="s">
        <v>8</v>
      </c>
      <c r="I105" s="457" t="s">
        <v>23</v>
      </c>
      <c r="J105" s="457" t="s">
        <v>23</v>
      </c>
      <c r="K105" s="726"/>
      <c r="L105" s="4" t="s">
        <v>14</v>
      </c>
    </row>
    <row r="106" spans="1:13" x14ac:dyDescent="0.2">
      <c r="A106" s="122"/>
      <c r="B106" s="122"/>
      <c r="C106" s="591" t="s">
        <v>257</v>
      </c>
      <c r="D106" s="592" t="s">
        <v>257</v>
      </c>
      <c r="E106" s="592" t="s">
        <v>258</v>
      </c>
      <c r="F106" s="592" t="s">
        <v>258</v>
      </c>
      <c r="G106" s="67"/>
      <c r="H106" s="80"/>
      <c r="I106" s="457"/>
      <c r="J106" s="457"/>
      <c r="K106" s="122"/>
      <c r="L106" s="4"/>
    </row>
    <row r="107" spans="1:13" x14ac:dyDescent="0.2">
      <c r="A107" s="12" t="s">
        <v>208</v>
      </c>
      <c r="B107" s="682">
        <v>45550</v>
      </c>
      <c r="C107" s="683">
        <v>757020</v>
      </c>
      <c r="D107" s="683">
        <v>1556220</v>
      </c>
      <c r="E107" s="683">
        <v>767010</v>
      </c>
      <c r="F107" s="684">
        <v>1633920</v>
      </c>
      <c r="G107" s="42"/>
      <c r="H107" s="685">
        <v>0.95</v>
      </c>
      <c r="I107" s="4"/>
      <c r="J107" s="12"/>
      <c r="K107" s="122"/>
      <c r="L107" s="4"/>
    </row>
    <row r="108" spans="1:13" x14ac:dyDescent="0.2">
      <c r="A108" s="431"/>
      <c r="B108" s="112"/>
      <c r="C108" s="6"/>
      <c r="D108" s="6"/>
      <c r="E108" s="6"/>
      <c r="F108" s="6"/>
      <c r="G108" s="8">
        <f t="shared" ref="G108:G115" si="34">C108*4+D108*4+E108*12+F108*12</f>
        <v>0</v>
      </c>
      <c r="H108" s="8">
        <f>( F108*F$107+C108*C$107+D108*D$107+E108*E$107 )*H$107</f>
        <v>0</v>
      </c>
      <c r="I108" s="8">
        <f t="shared" ref="I108:I115" si="35">C108+D108+E108+F108</f>
        <v>0</v>
      </c>
      <c r="J108" s="9">
        <f>J103-I108</f>
        <v>400</v>
      </c>
      <c r="K108" s="122"/>
      <c r="L108" s="15">
        <f t="shared" ref="L108:L115" si="36">K108-A108</f>
        <v>0</v>
      </c>
    </row>
    <row r="109" spans="1:13" x14ac:dyDescent="0.2">
      <c r="A109" s="431"/>
      <c r="B109" s="435"/>
      <c r="C109" s="6"/>
      <c r="D109" s="6"/>
      <c r="E109" s="6"/>
      <c r="F109" s="6"/>
      <c r="G109" s="8">
        <f t="shared" si="34"/>
        <v>0</v>
      </c>
      <c r="H109" s="8">
        <f t="shared" ref="H109:H115" si="37">( F109*F$107+C109*C$107+D109*D$107+E109*E$107 )*H$107</f>
        <v>0</v>
      </c>
      <c r="I109" s="8">
        <f t="shared" si="35"/>
        <v>0</v>
      </c>
      <c r="J109" s="9">
        <f t="shared" ref="J109:J115" si="38">J108-I109</f>
        <v>400</v>
      </c>
      <c r="K109" s="122"/>
      <c r="L109" s="15">
        <f t="shared" si="36"/>
        <v>0</v>
      </c>
    </row>
    <row r="110" spans="1:13" x14ac:dyDescent="0.2">
      <c r="A110" s="431"/>
      <c r="B110" s="435"/>
      <c r="C110" s="6"/>
      <c r="D110" s="6"/>
      <c r="E110" s="6"/>
      <c r="F110" s="6"/>
      <c r="G110" s="8">
        <f t="shared" si="34"/>
        <v>0</v>
      </c>
      <c r="H110" s="8">
        <f t="shared" si="37"/>
        <v>0</v>
      </c>
      <c r="I110" s="8">
        <f t="shared" si="35"/>
        <v>0</v>
      </c>
      <c r="J110" s="9">
        <f t="shared" si="38"/>
        <v>400</v>
      </c>
      <c r="K110" s="122"/>
      <c r="L110" s="15">
        <f t="shared" si="36"/>
        <v>0</v>
      </c>
    </row>
    <row r="111" spans="1:13" x14ac:dyDescent="0.2">
      <c r="A111" s="431"/>
      <c r="B111" s="435"/>
      <c r="C111" s="6"/>
      <c r="D111" s="6"/>
      <c r="E111" s="6"/>
      <c r="F111" s="6"/>
      <c r="G111" s="8">
        <f t="shared" si="34"/>
        <v>0</v>
      </c>
      <c r="H111" s="8">
        <f t="shared" si="37"/>
        <v>0</v>
      </c>
      <c r="I111" s="8">
        <f t="shared" si="35"/>
        <v>0</v>
      </c>
      <c r="J111" s="9">
        <f t="shared" si="38"/>
        <v>400</v>
      </c>
      <c r="K111" s="122"/>
      <c r="L111" s="15">
        <f t="shared" si="36"/>
        <v>0</v>
      </c>
    </row>
    <row r="112" spans="1:13" x14ac:dyDescent="0.2">
      <c r="A112" s="431"/>
      <c r="B112" s="435"/>
      <c r="C112" s="6"/>
      <c r="D112" s="6"/>
      <c r="E112" s="6"/>
      <c r="F112" s="6"/>
      <c r="G112" s="8">
        <f t="shared" si="34"/>
        <v>0</v>
      </c>
      <c r="H112" s="8">
        <f t="shared" si="37"/>
        <v>0</v>
      </c>
      <c r="I112" s="8">
        <f t="shared" si="35"/>
        <v>0</v>
      </c>
      <c r="J112" s="9">
        <f t="shared" si="38"/>
        <v>400</v>
      </c>
      <c r="K112" s="122"/>
      <c r="L112" s="15">
        <f t="shared" si="36"/>
        <v>0</v>
      </c>
    </row>
    <row r="113" spans="1:16" x14ac:dyDescent="0.2">
      <c r="A113" s="431"/>
      <c r="B113" s="435"/>
      <c r="C113" s="6"/>
      <c r="D113" s="6"/>
      <c r="E113" s="6"/>
      <c r="F113" s="6"/>
      <c r="G113" s="8">
        <f t="shared" si="34"/>
        <v>0</v>
      </c>
      <c r="H113" s="8">
        <f t="shared" si="37"/>
        <v>0</v>
      </c>
      <c r="I113" s="8">
        <f t="shared" si="35"/>
        <v>0</v>
      </c>
      <c r="J113" s="9">
        <f t="shared" si="38"/>
        <v>400</v>
      </c>
      <c r="K113" s="122"/>
      <c r="L113" s="15">
        <f t="shared" si="36"/>
        <v>0</v>
      </c>
    </row>
    <row r="114" spans="1:16" x14ac:dyDescent="0.2">
      <c r="A114" s="431"/>
      <c r="B114" s="435"/>
      <c r="C114" s="6"/>
      <c r="D114" s="6"/>
      <c r="E114" s="6"/>
      <c r="F114" s="6"/>
      <c r="G114" s="8">
        <f t="shared" si="34"/>
        <v>0</v>
      </c>
      <c r="H114" s="8">
        <f t="shared" si="37"/>
        <v>0</v>
      </c>
      <c r="I114" s="8">
        <f t="shared" si="35"/>
        <v>0</v>
      </c>
      <c r="J114" s="9">
        <f t="shared" si="38"/>
        <v>400</v>
      </c>
      <c r="K114" s="122"/>
      <c r="L114" s="15">
        <f t="shared" si="36"/>
        <v>0</v>
      </c>
    </row>
    <row r="115" spans="1:16" x14ac:dyDescent="0.2">
      <c r="A115" s="431"/>
      <c r="B115" s="435"/>
      <c r="C115" s="6"/>
      <c r="D115" s="6"/>
      <c r="E115" s="6"/>
      <c r="F115" s="6"/>
      <c r="G115" s="8">
        <f t="shared" si="34"/>
        <v>0</v>
      </c>
      <c r="H115" s="8">
        <f t="shared" si="37"/>
        <v>0</v>
      </c>
      <c r="I115" s="8">
        <f t="shared" si="35"/>
        <v>0</v>
      </c>
      <c r="J115" s="9">
        <f t="shared" si="38"/>
        <v>400</v>
      </c>
      <c r="K115" s="122"/>
      <c r="L115" s="15">
        <f t="shared" si="36"/>
        <v>0</v>
      </c>
    </row>
    <row r="116" spans="1:16" x14ac:dyDescent="0.2">
      <c r="A116" s="731" t="s">
        <v>18</v>
      </c>
      <c r="B116" s="732"/>
      <c r="C116" s="7">
        <f t="shared" ref="C116:I116" si="39">SUM(C108:C115)</f>
        <v>0</v>
      </c>
      <c r="D116" s="7">
        <f t="shared" si="39"/>
        <v>0</v>
      </c>
      <c r="E116" s="7">
        <f t="shared" si="39"/>
        <v>0</v>
      </c>
      <c r="F116" s="7">
        <f t="shared" si="39"/>
        <v>0</v>
      </c>
      <c r="G116" s="404">
        <f t="shared" si="39"/>
        <v>0</v>
      </c>
      <c r="H116" s="79">
        <f t="shared" si="39"/>
        <v>0</v>
      </c>
      <c r="I116" s="50">
        <f t="shared" si="39"/>
        <v>0</v>
      </c>
      <c r="J116" s="9">
        <f>J103-I116</f>
        <v>400</v>
      </c>
      <c r="K116" s="121"/>
      <c r="L116" s="4"/>
    </row>
    <row r="117" spans="1:16" x14ac:dyDescent="0.2">
      <c r="A117" s="4"/>
      <c r="B117" s="121"/>
      <c r="C117" s="7"/>
      <c r="D117" s="7"/>
      <c r="E117" s="7"/>
      <c r="F117" s="7"/>
      <c r="G117" s="8"/>
      <c r="H117" s="56" t="s">
        <v>46</v>
      </c>
      <c r="I117" s="62">
        <f>I116/J103%</f>
        <v>0</v>
      </c>
      <c r="J117" s="55">
        <f>J116/J103%</f>
        <v>100</v>
      </c>
      <c r="K117" s="121"/>
      <c r="L117" s="4"/>
    </row>
    <row r="120" spans="1:16" ht="15" x14ac:dyDescent="0.25">
      <c r="A120" s="93" t="s">
        <v>0</v>
      </c>
      <c r="B120" s="760" t="s">
        <v>253</v>
      </c>
      <c r="C120" s="761"/>
      <c r="D120" s="761"/>
      <c r="E120" s="761"/>
      <c r="F120" s="761"/>
      <c r="G120" s="761"/>
      <c r="H120" s="761"/>
      <c r="I120" s="762"/>
      <c r="J120" s="70" t="s">
        <v>11</v>
      </c>
      <c r="K120" s="739" t="s">
        <v>15</v>
      </c>
      <c r="L120" s="739"/>
      <c r="M120" s="335"/>
      <c r="N120" s="335"/>
      <c r="O120" s="335"/>
      <c r="P120" s="335"/>
    </row>
    <row r="121" spans="1:16" ht="14.25" x14ac:dyDescent="0.2">
      <c r="A121" s="93" t="s">
        <v>1</v>
      </c>
      <c r="B121" s="836" t="s">
        <v>281</v>
      </c>
      <c r="C121" s="836"/>
      <c r="D121" s="836"/>
      <c r="E121" s="836"/>
      <c r="F121" s="836"/>
      <c r="G121" s="836"/>
      <c r="H121" s="836"/>
      <c r="I121" s="836"/>
      <c r="J121" s="69">
        <v>500</v>
      </c>
      <c r="K121" s="739"/>
      <c r="L121" s="739"/>
    </row>
    <row r="122" spans="1:16" x14ac:dyDescent="0.2">
      <c r="A122" s="801" t="s">
        <v>3</v>
      </c>
      <c r="B122" s="801" t="s">
        <v>126</v>
      </c>
      <c r="C122" s="731" t="s">
        <v>19</v>
      </c>
      <c r="D122" s="837"/>
      <c r="E122" s="837"/>
      <c r="F122" s="732"/>
      <c r="G122" s="10" t="s">
        <v>34</v>
      </c>
      <c r="H122" s="838" t="s">
        <v>31</v>
      </c>
      <c r="I122" s="839"/>
      <c r="J122" s="81" t="s">
        <v>12</v>
      </c>
      <c r="K122" s="726" t="s">
        <v>3</v>
      </c>
      <c r="L122" s="4" t="s">
        <v>13</v>
      </c>
    </row>
    <row r="123" spans="1:16" x14ac:dyDescent="0.2">
      <c r="A123" s="802"/>
      <c r="B123" s="802"/>
      <c r="C123" s="22" t="s">
        <v>175</v>
      </c>
      <c r="D123" s="22" t="s">
        <v>176</v>
      </c>
      <c r="E123" s="22" t="s">
        <v>175</v>
      </c>
      <c r="F123" s="22" t="s">
        <v>174</v>
      </c>
      <c r="G123" s="462" t="s">
        <v>9</v>
      </c>
      <c r="H123" s="80" t="s">
        <v>8</v>
      </c>
      <c r="I123" s="457" t="s">
        <v>23</v>
      </c>
      <c r="J123" s="248" t="s">
        <v>23</v>
      </c>
      <c r="K123" s="726"/>
      <c r="L123" s="4" t="s">
        <v>14</v>
      </c>
    </row>
    <row r="124" spans="1:16" x14ac:dyDescent="0.2">
      <c r="A124" s="12"/>
      <c r="B124" s="593"/>
      <c r="C124" s="591" t="s">
        <v>257</v>
      </c>
      <c r="D124" s="592" t="s">
        <v>257</v>
      </c>
      <c r="E124" s="592" t="s">
        <v>258</v>
      </c>
      <c r="F124" s="592" t="s">
        <v>258</v>
      </c>
      <c r="G124" s="256"/>
      <c r="H124" s="256"/>
      <c r="I124" s="4"/>
      <c r="J124" s="12"/>
      <c r="K124" s="122"/>
      <c r="L124" s="4"/>
    </row>
    <row r="125" spans="1:16" x14ac:dyDescent="0.2">
      <c r="A125" s="401" t="s">
        <v>208</v>
      </c>
      <c r="B125" s="682">
        <v>45931</v>
      </c>
      <c r="C125" s="683">
        <v>799200</v>
      </c>
      <c r="D125" s="683">
        <v>1605060</v>
      </c>
      <c r="E125" s="683">
        <v>821400</v>
      </c>
      <c r="F125" s="684">
        <v>1704960</v>
      </c>
      <c r="G125" s="638"/>
      <c r="H125" s="638">
        <v>0.95</v>
      </c>
      <c r="I125" s="4"/>
      <c r="J125" s="12"/>
      <c r="K125" s="122"/>
      <c r="L125" s="4"/>
    </row>
    <row r="126" spans="1:16" x14ac:dyDescent="0.2">
      <c r="A126" s="431">
        <v>46050</v>
      </c>
      <c r="B126" s="112">
        <v>24280</v>
      </c>
      <c r="C126" s="6">
        <v>0</v>
      </c>
      <c r="D126" s="6">
        <v>0</v>
      </c>
      <c r="E126" s="6">
        <v>5</v>
      </c>
      <c r="F126" s="6">
        <v>5</v>
      </c>
      <c r="G126" s="8">
        <f>C126*4+D126*12+E126*4+F126*12</f>
        <v>80</v>
      </c>
      <c r="H126" s="8">
        <f>(C126*C$125+D126*D$125+E126*E$125+F126*F$125)*H$125</f>
        <v>12000210</v>
      </c>
      <c r="I126" s="8">
        <f t="shared" ref="I126:I143" si="40">C126+D126+E126+F126</f>
        <v>10</v>
      </c>
      <c r="J126" s="471">
        <f>J121-I126</f>
        <v>490</v>
      </c>
      <c r="K126" s="122"/>
      <c r="L126" s="540">
        <f t="shared" ref="L126:L143" si="41">K126-A126</f>
        <v>-46050</v>
      </c>
    </row>
    <row r="127" spans="1:16" x14ac:dyDescent="0.2">
      <c r="A127" s="698"/>
      <c r="B127" s="461"/>
      <c r="C127" s="6"/>
      <c r="D127" s="6"/>
      <c r="E127" s="6"/>
      <c r="F127" s="6"/>
      <c r="G127" s="8">
        <f t="shared" ref="G127:G143" si="42">C127*4+D127*12+E127*4+F127*12</f>
        <v>0</v>
      </c>
      <c r="H127" s="8">
        <f t="shared" ref="H127:H154" si="43">(C127*C$125+D127*D$125+E127*E$125+F127*F$125)*H$125</f>
        <v>0</v>
      </c>
      <c r="I127" s="8">
        <f t="shared" si="40"/>
        <v>0</v>
      </c>
      <c r="J127" s="471">
        <f>J126-I127</f>
        <v>490</v>
      </c>
      <c r="K127" s="122"/>
      <c r="L127" s="15">
        <f t="shared" si="41"/>
        <v>0</v>
      </c>
    </row>
    <row r="128" spans="1:16" x14ac:dyDescent="0.2">
      <c r="A128" s="604"/>
      <c r="B128" s="112"/>
      <c r="C128" s="6"/>
      <c r="D128" s="6"/>
      <c r="E128" s="6"/>
      <c r="F128" s="6"/>
      <c r="G128" s="8">
        <f t="shared" si="42"/>
        <v>0</v>
      </c>
      <c r="H128" s="8">
        <f t="shared" si="43"/>
        <v>0</v>
      </c>
      <c r="I128" s="8">
        <f t="shared" si="40"/>
        <v>0</v>
      </c>
      <c r="J128" s="471">
        <f>J127-I128</f>
        <v>490</v>
      </c>
      <c r="K128" s="122"/>
      <c r="L128" s="15">
        <f t="shared" si="41"/>
        <v>0</v>
      </c>
    </row>
    <row r="129" spans="1:12" x14ac:dyDescent="0.2">
      <c r="A129" s="431"/>
      <c r="B129" s="112"/>
      <c r="C129" s="6"/>
      <c r="D129" s="6"/>
      <c r="E129" s="6"/>
      <c r="F129" s="6"/>
      <c r="G129" s="8">
        <f t="shared" si="42"/>
        <v>0</v>
      </c>
      <c r="H129" s="8">
        <f t="shared" si="43"/>
        <v>0</v>
      </c>
      <c r="I129" s="8">
        <f t="shared" si="40"/>
        <v>0</v>
      </c>
      <c r="J129" s="471">
        <f>J128-I129</f>
        <v>490</v>
      </c>
      <c r="K129" s="122"/>
      <c r="L129" s="15">
        <f t="shared" si="41"/>
        <v>0</v>
      </c>
    </row>
    <row r="130" spans="1:12" x14ac:dyDescent="0.2">
      <c r="A130" s="604"/>
      <c r="B130" s="112"/>
      <c r="C130" s="6"/>
      <c r="D130" s="6"/>
      <c r="E130" s="6"/>
      <c r="F130" s="6"/>
      <c r="G130" s="8">
        <f t="shared" si="42"/>
        <v>0</v>
      </c>
      <c r="H130" s="8">
        <f t="shared" si="43"/>
        <v>0</v>
      </c>
      <c r="I130" s="8">
        <f t="shared" si="40"/>
        <v>0</v>
      </c>
      <c r="J130" s="471">
        <f>J129-I130</f>
        <v>490</v>
      </c>
      <c r="K130" s="122"/>
      <c r="L130" s="15">
        <f t="shared" si="41"/>
        <v>0</v>
      </c>
    </row>
    <row r="131" spans="1:12" x14ac:dyDescent="0.2">
      <c r="A131" s="431"/>
      <c r="B131" s="112"/>
      <c r="C131" s="6"/>
      <c r="D131" s="6"/>
      <c r="E131" s="6"/>
      <c r="F131" s="6"/>
      <c r="G131" s="8">
        <f t="shared" si="42"/>
        <v>0</v>
      </c>
      <c r="H131" s="8">
        <f t="shared" si="43"/>
        <v>0</v>
      </c>
      <c r="I131" s="8">
        <f t="shared" si="40"/>
        <v>0</v>
      </c>
      <c r="J131" s="471">
        <f>J130-I131</f>
        <v>490</v>
      </c>
      <c r="K131" s="122"/>
      <c r="L131" s="15">
        <f t="shared" si="41"/>
        <v>0</v>
      </c>
    </row>
    <row r="132" spans="1:12" x14ac:dyDescent="0.2">
      <c r="A132" s="431"/>
      <c r="B132" s="112"/>
      <c r="C132" s="6"/>
      <c r="D132" s="6"/>
      <c r="E132" s="6"/>
      <c r="F132" s="6"/>
      <c r="G132" s="8">
        <f t="shared" si="42"/>
        <v>0</v>
      </c>
      <c r="H132" s="8">
        <f t="shared" si="43"/>
        <v>0</v>
      </c>
      <c r="I132" s="8">
        <f t="shared" si="40"/>
        <v>0</v>
      </c>
      <c r="J132" s="471">
        <f t="shared" ref="J132:J143" si="44">J131-I132</f>
        <v>490</v>
      </c>
      <c r="K132" s="122"/>
      <c r="L132" s="15">
        <f t="shared" si="41"/>
        <v>0</v>
      </c>
    </row>
    <row r="133" spans="1:12" x14ac:dyDescent="0.2">
      <c r="A133" s="431"/>
      <c r="B133" s="112"/>
      <c r="C133" s="6"/>
      <c r="D133" s="6"/>
      <c r="E133" s="6"/>
      <c r="F133" s="6"/>
      <c r="G133" s="8">
        <f t="shared" si="42"/>
        <v>0</v>
      </c>
      <c r="H133" s="8">
        <f t="shared" si="43"/>
        <v>0</v>
      </c>
      <c r="I133" s="8">
        <f t="shared" si="40"/>
        <v>0</v>
      </c>
      <c r="J133" s="471">
        <f t="shared" si="44"/>
        <v>490</v>
      </c>
      <c r="K133" s="122"/>
      <c r="L133" s="15">
        <f t="shared" si="41"/>
        <v>0</v>
      </c>
    </row>
    <row r="134" spans="1:12" x14ac:dyDescent="0.2">
      <c r="A134" s="431"/>
      <c r="B134" s="112"/>
      <c r="C134" s="6"/>
      <c r="D134" s="6"/>
      <c r="E134" s="6"/>
      <c r="F134" s="6"/>
      <c r="G134" s="8">
        <f t="shared" si="42"/>
        <v>0</v>
      </c>
      <c r="H134" s="8">
        <f t="shared" si="43"/>
        <v>0</v>
      </c>
      <c r="I134" s="8">
        <f t="shared" si="40"/>
        <v>0</v>
      </c>
      <c r="J134" s="712">
        <f t="shared" si="44"/>
        <v>490</v>
      </c>
      <c r="K134" s="122"/>
      <c r="L134" s="15">
        <f t="shared" si="41"/>
        <v>0</v>
      </c>
    </row>
    <row r="135" spans="1:12" x14ac:dyDescent="0.2">
      <c r="A135" s="431"/>
      <c r="B135" s="112"/>
      <c r="C135" s="6"/>
      <c r="D135" s="6"/>
      <c r="E135" s="6"/>
      <c r="F135" s="6"/>
      <c r="G135" s="8">
        <f t="shared" si="42"/>
        <v>0</v>
      </c>
      <c r="H135" s="8">
        <f t="shared" si="43"/>
        <v>0</v>
      </c>
      <c r="I135" s="8">
        <f t="shared" si="40"/>
        <v>0</v>
      </c>
      <c r="J135" s="712">
        <f t="shared" si="44"/>
        <v>490</v>
      </c>
      <c r="K135" s="122"/>
      <c r="L135" s="15">
        <f t="shared" si="41"/>
        <v>0</v>
      </c>
    </row>
    <row r="136" spans="1:12" x14ac:dyDescent="0.2">
      <c r="A136" s="431"/>
      <c r="B136" s="112"/>
      <c r="C136" s="6"/>
      <c r="D136" s="6"/>
      <c r="E136" s="6"/>
      <c r="F136" s="6"/>
      <c r="G136" s="8">
        <f t="shared" si="42"/>
        <v>0</v>
      </c>
      <c r="H136" s="8">
        <f t="shared" si="43"/>
        <v>0</v>
      </c>
      <c r="I136" s="8">
        <f t="shared" si="40"/>
        <v>0</v>
      </c>
      <c r="J136" s="712">
        <f t="shared" si="44"/>
        <v>490</v>
      </c>
      <c r="K136" s="122"/>
      <c r="L136" s="15">
        <f t="shared" si="41"/>
        <v>0</v>
      </c>
    </row>
    <row r="137" spans="1:12" x14ac:dyDescent="0.2">
      <c r="A137" s="431"/>
      <c r="B137" s="112"/>
      <c r="C137" s="6"/>
      <c r="D137" s="6"/>
      <c r="E137" s="6"/>
      <c r="F137" s="6"/>
      <c r="G137" s="8">
        <f t="shared" si="42"/>
        <v>0</v>
      </c>
      <c r="H137" s="8">
        <f t="shared" si="43"/>
        <v>0</v>
      </c>
      <c r="I137" s="8">
        <f t="shared" si="40"/>
        <v>0</v>
      </c>
      <c r="J137" s="712">
        <f t="shared" si="44"/>
        <v>490</v>
      </c>
      <c r="K137" s="122"/>
      <c r="L137" s="15">
        <f t="shared" si="41"/>
        <v>0</v>
      </c>
    </row>
    <row r="138" spans="1:12" x14ac:dyDescent="0.2">
      <c r="A138" s="431"/>
      <c r="B138" s="112"/>
      <c r="C138" s="6"/>
      <c r="D138" s="6"/>
      <c r="E138" s="6"/>
      <c r="F138" s="6"/>
      <c r="G138" s="8">
        <f t="shared" si="42"/>
        <v>0</v>
      </c>
      <c r="H138" s="8">
        <f t="shared" si="43"/>
        <v>0</v>
      </c>
      <c r="I138" s="8">
        <f t="shared" si="40"/>
        <v>0</v>
      </c>
      <c r="J138" s="712">
        <f t="shared" si="44"/>
        <v>490</v>
      </c>
      <c r="K138" s="122"/>
      <c r="L138" s="15">
        <f t="shared" si="41"/>
        <v>0</v>
      </c>
    </row>
    <row r="139" spans="1:12" x14ac:dyDescent="0.2">
      <c r="A139" s="431"/>
      <c r="B139" s="112"/>
      <c r="C139" s="6"/>
      <c r="D139" s="6"/>
      <c r="E139" s="6"/>
      <c r="F139" s="6"/>
      <c r="G139" s="8">
        <f t="shared" si="42"/>
        <v>0</v>
      </c>
      <c r="H139" s="8">
        <f t="shared" si="43"/>
        <v>0</v>
      </c>
      <c r="I139" s="8">
        <f t="shared" si="40"/>
        <v>0</v>
      </c>
      <c r="J139" s="712">
        <f t="shared" si="44"/>
        <v>490</v>
      </c>
      <c r="K139" s="122"/>
      <c r="L139" s="15">
        <f t="shared" si="41"/>
        <v>0</v>
      </c>
    </row>
    <row r="140" spans="1:12" x14ac:dyDescent="0.2">
      <c r="A140" s="431"/>
      <c r="B140" s="112"/>
      <c r="C140" s="6"/>
      <c r="D140" s="6"/>
      <c r="E140" s="6"/>
      <c r="F140" s="6"/>
      <c r="G140" s="8">
        <f t="shared" si="42"/>
        <v>0</v>
      </c>
      <c r="H140" s="8">
        <f t="shared" si="43"/>
        <v>0</v>
      </c>
      <c r="I140" s="8">
        <f t="shared" si="40"/>
        <v>0</v>
      </c>
      <c r="J140" s="712">
        <f t="shared" si="44"/>
        <v>490</v>
      </c>
      <c r="K140" s="258"/>
      <c r="L140" s="15">
        <f t="shared" si="41"/>
        <v>0</v>
      </c>
    </row>
    <row r="141" spans="1:12" x14ac:dyDescent="0.2">
      <c r="A141" s="431"/>
      <c r="B141" s="112"/>
      <c r="C141" s="6"/>
      <c r="D141" s="6"/>
      <c r="E141" s="6"/>
      <c r="F141" s="6"/>
      <c r="G141" s="8">
        <f t="shared" si="42"/>
        <v>0</v>
      </c>
      <c r="H141" s="8">
        <f t="shared" si="43"/>
        <v>0</v>
      </c>
      <c r="I141" s="8">
        <f t="shared" si="40"/>
        <v>0</v>
      </c>
      <c r="J141" s="712">
        <f t="shared" si="44"/>
        <v>490</v>
      </c>
      <c r="K141" s="122"/>
      <c r="L141" s="15">
        <f t="shared" si="41"/>
        <v>0</v>
      </c>
    </row>
    <row r="142" spans="1:12" x14ac:dyDescent="0.2">
      <c r="A142" s="431"/>
      <c r="B142" s="112"/>
      <c r="C142" s="6"/>
      <c r="D142" s="6"/>
      <c r="E142" s="6"/>
      <c r="F142" s="6"/>
      <c r="G142" s="8">
        <f t="shared" si="42"/>
        <v>0</v>
      </c>
      <c r="H142" s="8">
        <f t="shared" si="43"/>
        <v>0</v>
      </c>
      <c r="I142" s="8">
        <f t="shared" si="40"/>
        <v>0</v>
      </c>
      <c r="J142" s="712">
        <f t="shared" si="44"/>
        <v>490</v>
      </c>
      <c r="K142" s="122"/>
      <c r="L142" s="15">
        <f t="shared" si="41"/>
        <v>0</v>
      </c>
    </row>
    <row r="143" spans="1:12" x14ac:dyDescent="0.2">
      <c r="A143" s="431"/>
      <c r="B143" s="112"/>
      <c r="C143" s="6"/>
      <c r="D143" s="6"/>
      <c r="E143" s="6"/>
      <c r="F143" s="6"/>
      <c r="G143" s="8">
        <f t="shared" si="42"/>
        <v>0</v>
      </c>
      <c r="H143" s="8">
        <f t="shared" si="43"/>
        <v>0</v>
      </c>
      <c r="I143" s="8">
        <f t="shared" si="40"/>
        <v>0</v>
      </c>
      <c r="J143" s="712">
        <f t="shared" si="44"/>
        <v>490</v>
      </c>
      <c r="K143" s="122"/>
      <c r="L143" s="15">
        <f t="shared" si="41"/>
        <v>0</v>
      </c>
    </row>
    <row r="144" spans="1:12" x14ac:dyDescent="0.2">
      <c r="A144" s="431"/>
      <c r="B144" s="112"/>
      <c r="C144" s="6"/>
      <c r="D144" s="6"/>
      <c r="E144" s="6"/>
      <c r="F144" s="6"/>
      <c r="G144" s="8">
        <f t="shared" ref="G144:G149" si="45">C144*4+D144*12+E144*4+F144*12</f>
        <v>0</v>
      </c>
      <c r="H144" s="8">
        <f t="shared" si="43"/>
        <v>0</v>
      </c>
      <c r="I144" s="8">
        <f t="shared" ref="I144:I149" si="46">C144+D144+E144+F144</f>
        <v>0</v>
      </c>
      <c r="J144" s="712">
        <f t="shared" ref="J144:J149" si="47">J143-I144</f>
        <v>490</v>
      </c>
      <c r="K144" s="122"/>
      <c r="L144" s="15">
        <f t="shared" ref="L144:L149" si="48">K144-A144</f>
        <v>0</v>
      </c>
    </row>
    <row r="145" spans="1:16" x14ac:dyDescent="0.2">
      <c r="A145" s="431"/>
      <c r="B145" s="112"/>
      <c r="C145" s="6"/>
      <c r="D145" s="6"/>
      <c r="E145" s="6"/>
      <c r="F145" s="6"/>
      <c r="G145" s="8">
        <f t="shared" si="45"/>
        <v>0</v>
      </c>
      <c r="H145" s="8">
        <f t="shared" si="43"/>
        <v>0</v>
      </c>
      <c r="I145" s="8">
        <f t="shared" si="46"/>
        <v>0</v>
      </c>
      <c r="J145" s="712">
        <f t="shared" si="47"/>
        <v>490</v>
      </c>
      <c r="K145" s="122"/>
      <c r="L145" s="15">
        <f t="shared" si="48"/>
        <v>0</v>
      </c>
    </row>
    <row r="146" spans="1:16" x14ac:dyDescent="0.2">
      <c r="A146" s="121"/>
      <c r="B146" s="440"/>
      <c r="C146" s="6"/>
      <c r="D146" s="6"/>
      <c r="E146" s="6"/>
      <c r="F146" s="6"/>
      <c r="G146" s="8">
        <f t="shared" si="45"/>
        <v>0</v>
      </c>
      <c r="H146" s="8">
        <f t="shared" si="43"/>
        <v>0</v>
      </c>
      <c r="I146" s="8">
        <f t="shared" si="46"/>
        <v>0</v>
      </c>
      <c r="J146" s="712">
        <f t="shared" si="47"/>
        <v>490</v>
      </c>
      <c r="K146" s="122"/>
      <c r="L146" s="15">
        <f t="shared" si="48"/>
        <v>0</v>
      </c>
    </row>
    <row r="147" spans="1:16" x14ac:dyDescent="0.2">
      <c r="A147" s="431"/>
      <c r="B147" s="112"/>
      <c r="C147" s="6"/>
      <c r="D147" s="6"/>
      <c r="E147" s="6"/>
      <c r="F147" s="6"/>
      <c r="G147" s="8">
        <f t="shared" si="45"/>
        <v>0</v>
      </c>
      <c r="H147" s="8">
        <f t="shared" si="43"/>
        <v>0</v>
      </c>
      <c r="I147" s="8">
        <f t="shared" si="46"/>
        <v>0</v>
      </c>
      <c r="J147" s="712">
        <f t="shared" si="47"/>
        <v>490</v>
      </c>
      <c r="K147" s="122"/>
      <c r="L147" s="15">
        <f t="shared" si="48"/>
        <v>0</v>
      </c>
    </row>
    <row r="148" spans="1:16" x14ac:dyDescent="0.2">
      <c r="A148" s="431"/>
      <c r="B148" s="112"/>
      <c r="C148" s="6"/>
      <c r="D148" s="6"/>
      <c r="E148" s="6"/>
      <c r="F148" s="6"/>
      <c r="G148" s="8">
        <f t="shared" si="45"/>
        <v>0</v>
      </c>
      <c r="H148" s="8">
        <f t="shared" si="43"/>
        <v>0</v>
      </c>
      <c r="I148" s="8">
        <f t="shared" si="46"/>
        <v>0</v>
      </c>
      <c r="J148" s="712">
        <f t="shared" si="47"/>
        <v>490</v>
      </c>
      <c r="K148" s="122"/>
      <c r="L148" s="15">
        <f t="shared" si="48"/>
        <v>0</v>
      </c>
    </row>
    <row r="149" spans="1:16" x14ac:dyDescent="0.2">
      <c r="A149" s="431"/>
      <c r="B149" s="112"/>
      <c r="C149" s="6"/>
      <c r="D149" s="6"/>
      <c r="E149" s="6"/>
      <c r="F149" s="6"/>
      <c r="G149" s="8">
        <f t="shared" si="45"/>
        <v>0</v>
      </c>
      <c r="H149" s="8">
        <f t="shared" si="43"/>
        <v>0</v>
      </c>
      <c r="I149" s="8">
        <f t="shared" si="46"/>
        <v>0</v>
      </c>
      <c r="J149" s="712">
        <f t="shared" si="47"/>
        <v>490</v>
      </c>
      <c r="K149" s="122"/>
      <c r="L149" s="15">
        <f t="shared" si="48"/>
        <v>0</v>
      </c>
    </row>
    <row r="150" spans="1:16" x14ac:dyDescent="0.2">
      <c r="A150" s="431"/>
      <c r="B150" s="112"/>
      <c r="C150" s="6"/>
      <c r="D150" s="6"/>
      <c r="E150" s="6"/>
      <c r="F150" s="6"/>
      <c r="G150" s="8">
        <f>C150*4+D150*12+E150*4+F150*12</f>
        <v>0</v>
      </c>
      <c r="H150" s="8">
        <f t="shared" si="43"/>
        <v>0</v>
      </c>
      <c r="I150" s="8">
        <f>C150+D150+E150+F150</f>
        <v>0</v>
      </c>
      <c r="J150" s="712">
        <f>J149-I150</f>
        <v>490</v>
      </c>
      <c r="K150" s="122"/>
      <c r="L150" s="15">
        <f>K150-A150</f>
        <v>0</v>
      </c>
    </row>
    <row r="151" spans="1:16" x14ac:dyDescent="0.2">
      <c r="A151" s="431"/>
      <c r="B151" s="112"/>
      <c r="C151" s="6"/>
      <c r="D151" s="6"/>
      <c r="E151" s="6"/>
      <c r="F151" s="6"/>
      <c r="G151" s="8">
        <f>C151*4+D151*12+E151*4+F151*12</f>
        <v>0</v>
      </c>
      <c r="H151" s="8">
        <f t="shared" si="43"/>
        <v>0</v>
      </c>
      <c r="I151" s="8">
        <f>C151+D151+E151+F151</f>
        <v>0</v>
      </c>
      <c r="J151" s="712">
        <f>J150-I151</f>
        <v>490</v>
      </c>
      <c r="K151" s="122"/>
      <c r="L151" s="15">
        <f>K151-A151</f>
        <v>0</v>
      </c>
    </row>
    <row r="152" spans="1:16" x14ac:dyDescent="0.2">
      <c r="A152" s="431"/>
      <c r="B152" s="112"/>
      <c r="C152" s="6"/>
      <c r="D152" s="6"/>
      <c r="E152" s="6"/>
      <c r="F152" s="6"/>
      <c r="G152" s="8">
        <f>C152*4+D152*12+E152*4+F152*12</f>
        <v>0</v>
      </c>
      <c r="H152" s="8">
        <f t="shared" si="43"/>
        <v>0</v>
      </c>
      <c r="I152" s="8">
        <f>C152+D152+E152+F152</f>
        <v>0</v>
      </c>
      <c r="J152" s="712">
        <f>J151-I152</f>
        <v>490</v>
      </c>
      <c r="K152" s="122"/>
      <c r="L152" s="15">
        <f>K152-A152</f>
        <v>0</v>
      </c>
    </row>
    <row r="153" spans="1:16" x14ac:dyDescent="0.2">
      <c r="A153" s="431"/>
      <c r="B153" s="112"/>
      <c r="C153" s="6"/>
      <c r="D153" s="6"/>
      <c r="E153" s="6"/>
      <c r="F153" s="6"/>
      <c r="G153" s="8">
        <f>C153*4+D153*12+E153*4+F153*12</f>
        <v>0</v>
      </c>
      <c r="H153" s="8">
        <f t="shared" si="43"/>
        <v>0</v>
      </c>
      <c r="I153" s="8">
        <f>C153+D153+E153+F153</f>
        <v>0</v>
      </c>
      <c r="J153" s="712">
        <f>J152-I153</f>
        <v>490</v>
      </c>
      <c r="K153" s="122"/>
      <c r="L153" s="15">
        <f>K153-A153</f>
        <v>0</v>
      </c>
    </row>
    <row r="154" spans="1:16" x14ac:dyDescent="0.2">
      <c r="A154" s="431"/>
      <c r="B154" s="112"/>
      <c r="C154" s="6"/>
      <c r="D154" s="6"/>
      <c r="E154" s="6"/>
      <c r="F154" s="6"/>
      <c r="G154" s="8">
        <f>C154*4+D154*12+E154*4+F154*12</f>
        <v>0</v>
      </c>
      <c r="H154" s="8">
        <f t="shared" si="43"/>
        <v>0</v>
      </c>
      <c r="I154" s="8">
        <f>C154+D154+E154+F154</f>
        <v>0</v>
      </c>
      <c r="J154" s="712">
        <f>J153-I154</f>
        <v>490</v>
      </c>
      <c r="K154" s="122"/>
      <c r="L154" s="15">
        <f>K154-A154</f>
        <v>0</v>
      </c>
    </row>
    <row r="155" spans="1:16" x14ac:dyDescent="0.2">
      <c r="A155" s="731" t="s">
        <v>18</v>
      </c>
      <c r="B155" s="732"/>
      <c r="C155" s="7">
        <f t="shared" ref="C155:I155" si="49">SUM(C126:C154)</f>
        <v>0</v>
      </c>
      <c r="D155" s="7">
        <f t="shared" si="49"/>
        <v>0</v>
      </c>
      <c r="E155" s="7">
        <f t="shared" si="49"/>
        <v>5</v>
      </c>
      <c r="F155" s="7">
        <f t="shared" si="49"/>
        <v>5</v>
      </c>
      <c r="G155" s="404">
        <f t="shared" si="49"/>
        <v>80</v>
      </c>
      <c r="H155" s="79">
        <f t="shared" si="49"/>
        <v>12000210</v>
      </c>
      <c r="I155" s="250">
        <f t="shared" si="49"/>
        <v>10</v>
      </c>
      <c r="J155" s="712">
        <f>J121-I155</f>
        <v>490</v>
      </c>
      <c r="K155" s="121"/>
      <c r="L155" s="4"/>
    </row>
    <row r="156" spans="1:16" x14ac:dyDescent="0.2">
      <c r="A156" s="4"/>
      <c r="B156" s="121"/>
      <c r="C156" s="7"/>
      <c r="D156" s="7"/>
      <c r="E156" s="7"/>
      <c r="F156" s="7"/>
      <c r="G156" s="8"/>
      <c r="H156" s="56" t="s">
        <v>46</v>
      </c>
      <c r="I156" s="62">
        <f>I155/J121%</f>
        <v>2</v>
      </c>
      <c r="J156" s="55">
        <f>J155/J121%</f>
        <v>98</v>
      </c>
      <c r="K156" s="121"/>
      <c r="L156" s="4"/>
    </row>
    <row r="158" spans="1:16" ht="15" x14ac:dyDescent="0.25">
      <c r="A158" s="93" t="s">
        <v>0</v>
      </c>
      <c r="B158" s="760" t="s">
        <v>253</v>
      </c>
      <c r="C158" s="761"/>
      <c r="D158" s="761"/>
      <c r="E158" s="761"/>
      <c r="F158" s="761"/>
      <c r="G158" s="761"/>
      <c r="H158" s="761"/>
      <c r="I158" s="762"/>
      <c r="J158" s="70" t="s">
        <v>11</v>
      </c>
      <c r="K158" s="739" t="s">
        <v>15</v>
      </c>
      <c r="L158" s="739"/>
      <c r="M158" s="335"/>
      <c r="N158" s="335"/>
      <c r="O158" s="335"/>
      <c r="P158" s="335"/>
    </row>
    <row r="159" spans="1:16" ht="14.25" x14ac:dyDescent="0.2">
      <c r="A159" s="93" t="s">
        <v>1</v>
      </c>
      <c r="B159" s="836" t="s">
        <v>209</v>
      </c>
      <c r="C159" s="836"/>
      <c r="D159" s="836"/>
      <c r="E159" s="836"/>
      <c r="F159" s="836"/>
      <c r="G159" s="836"/>
      <c r="H159" s="836"/>
      <c r="I159" s="836"/>
      <c r="J159" s="69">
        <v>200</v>
      </c>
      <c r="K159" s="739"/>
      <c r="L159" s="739"/>
    </row>
    <row r="160" spans="1:16" x14ac:dyDescent="0.2">
      <c r="A160" s="726" t="s">
        <v>3</v>
      </c>
      <c r="B160" s="726" t="s">
        <v>126</v>
      </c>
      <c r="C160" s="731" t="s">
        <v>19</v>
      </c>
      <c r="D160" s="837"/>
      <c r="E160" s="837"/>
      <c r="F160" s="732"/>
      <c r="G160" s="10" t="s">
        <v>34</v>
      </c>
      <c r="H160" s="838" t="s">
        <v>31</v>
      </c>
      <c r="I160" s="839"/>
      <c r="J160" s="81" t="s">
        <v>12</v>
      </c>
      <c r="K160" s="726" t="s">
        <v>3</v>
      </c>
      <c r="L160" s="4" t="s">
        <v>13</v>
      </c>
    </row>
    <row r="161" spans="1:12" x14ac:dyDescent="0.2">
      <c r="A161" s="726"/>
      <c r="B161" s="726"/>
      <c r="C161" s="22" t="s">
        <v>175</v>
      </c>
      <c r="D161" s="22" t="s">
        <v>176</v>
      </c>
      <c r="E161" s="22" t="s">
        <v>175</v>
      </c>
      <c r="F161" s="22" t="s">
        <v>174</v>
      </c>
      <c r="G161" s="462" t="s">
        <v>9</v>
      </c>
      <c r="H161" s="80" t="s">
        <v>8</v>
      </c>
      <c r="I161" s="457" t="s">
        <v>23</v>
      </c>
      <c r="J161" s="457" t="s">
        <v>23</v>
      </c>
      <c r="K161" s="726"/>
      <c r="L161" s="4" t="s">
        <v>14</v>
      </c>
    </row>
    <row r="162" spans="1:12" x14ac:dyDescent="0.2">
      <c r="A162" s="12"/>
      <c r="B162" s="338"/>
      <c r="C162" s="591" t="s">
        <v>257</v>
      </c>
      <c r="D162" s="592" t="s">
        <v>257</v>
      </c>
      <c r="E162" s="592" t="s">
        <v>258</v>
      </c>
      <c r="F162" s="592" t="s">
        <v>258</v>
      </c>
      <c r="G162" s="256"/>
      <c r="H162" s="38"/>
      <c r="I162" s="4"/>
      <c r="J162" s="12"/>
      <c r="K162" s="122"/>
      <c r="L162" s="4"/>
    </row>
    <row r="163" spans="1:12" x14ac:dyDescent="0.2">
      <c r="A163" s="401" t="s">
        <v>208</v>
      </c>
      <c r="B163" s="682">
        <v>45931</v>
      </c>
      <c r="C163" s="683">
        <v>799200</v>
      </c>
      <c r="D163" s="683">
        <v>1605060</v>
      </c>
      <c r="E163" s="683">
        <v>821400</v>
      </c>
      <c r="F163" s="684">
        <v>1704960</v>
      </c>
      <c r="G163" s="42"/>
      <c r="H163" s="681"/>
      <c r="I163" s="4"/>
      <c r="J163" s="12"/>
      <c r="K163" s="122"/>
      <c r="L163" s="4"/>
    </row>
    <row r="164" spans="1:12" x14ac:dyDescent="0.2">
      <c r="A164" s="431"/>
      <c r="B164" s="112"/>
      <c r="C164" s="6"/>
      <c r="D164" s="6"/>
      <c r="E164" s="6"/>
      <c r="F164" s="6"/>
      <c r="G164" s="8">
        <f t="shared" ref="G164:G170" si="50">C164*4+D164*4+E164*12+F164*12</f>
        <v>0</v>
      </c>
      <c r="H164" s="8">
        <f>(C164*C$163+D164*D$163+E164*E$163+F164*F$163)</f>
        <v>0</v>
      </c>
      <c r="I164" s="8">
        <f t="shared" ref="I164:I170" si="51">C164+D164+E164+F164</f>
        <v>0</v>
      </c>
      <c r="J164" s="471">
        <f>J159-I164</f>
        <v>200</v>
      </c>
      <c r="K164" s="122"/>
      <c r="L164" s="540">
        <f t="shared" ref="L164:L170" si="52">K164-A164</f>
        <v>0</v>
      </c>
    </row>
    <row r="165" spans="1:12" x14ac:dyDescent="0.2">
      <c r="A165" s="431"/>
      <c r="B165" s="112"/>
      <c r="C165" s="6"/>
      <c r="D165" s="6"/>
      <c r="E165" s="6"/>
      <c r="F165" s="6"/>
      <c r="G165" s="8">
        <f>C165*4+D165*4+E165*12+F165*12</f>
        <v>0</v>
      </c>
      <c r="H165" s="8">
        <f t="shared" ref="H165:H170" si="53">(C165*C$163+D165*D$163+E165*E$163+F165*F$163)</f>
        <v>0</v>
      </c>
      <c r="I165" s="8">
        <f t="shared" si="51"/>
        <v>0</v>
      </c>
      <c r="J165" s="471">
        <f>J164-I165</f>
        <v>200</v>
      </c>
      <c r="K165" s="122"/>
      <c r="L165" s="15">
        <f t="shared" si="52"/>
        <v>0</v>
      </c>
    </row>
    <row r="166" spans="1:12" x14ac:dyDescent="0.2">
      <c r="A166" s="431"/>
      <c r="B166" s="112"/>
      <c r="C166" s="6"/>
      <c r="D166" s="6"/>
      <c r="E166" s="6"/>
      <c r="F166" s="6"/>
      <c r="G166" s="8">
        <f t="shared" si="50"/>
        <v>0</v>
      </c>
      <c r="H166" s="8">
        <f t="shared" si="53"/>
        <v>0</v>
      </c>
      <c r="I166" s="8">
        <f t="shared" si="51"/>
        <v>0</v>
      </c>
      <c r="J166" s="471">
        <f>J165-I166</f>
        <v>200</v>
      </c>
      <c r="K166" s="122"/>
      <c r="L166" s="15">
        <f t="shared" si="52"/>
        <v>0</v>
      </c>
    </row>
    <row r="167" spans="1:12" x14ac:dyDescent="0.2">
      <c r="A167" s="431"/>
      <c r="B167" s="112"/>
      <c r="C167" s="6"/>
      <c r="D167" s="6"/>
      <c r="E167" s="6"/>
      <c r="F167" s="6"/>
      <c r="G167" s="8">
        <f t="shared" si="50"/>
        <v>0</v>
      </c>
      <c r="H167" s="8">
        <f t="shared" si="53"/>
        <v>0</v>
      </c>
      <c r="I167" s="8">
        <f t="shared" si="51"/>
        <v>0</v>
      </c>
      <c r="J167" s="471">
        <f>J166-I167</f>
        <v>200</v>
      </c>
      <c r="K167" s="122"/>
      <c r="L167" s="15">
        <f t="shared" si="52"/>
        <v>0</v>
      </c>
    </row>
    <row r="168" spans="1:12" x14ac:dyDescent="0.2">
      <c r="A168" s="431"/>
      <c r="B168" s="112"/>
      <c r="C168" s="6"/>
      <c r="D168" s="6"/>
      <c r="E168" s="6"/>
      <c r="F168" s="6"/>
      <c r="G168" s="8">
        <f t="shared" si="50"/>
        <v>0</v>
      </c>
      <c r="H168" s="8">
        <f t="shared" si="53"/>
        <v>0</v>
      </c>
      <c r="I168" s="8">
        <f t="shared" si="51"/>
        <v>0</v>
      </c>
      <c r="J168" s="471">
        <f>J167-I168</f>
        <v>200</v>
      </c>
      <c r="K168" s="124"/>
      <c r="L168" s="15">
        <f t="shared" si="52"/>
        <v>0</v>
      </c>
    </row>
    <row r="169" spans="1:12" x14ac:dyDescent="0.2">
      <c r="A169" s="431"/>
      <c r="B169" s="112"/>
      <c r="C169" s="6"/>
      <c r="D169" s="6"/>
      <c r="E169" s="6"/>
      <c r="F169" s="6"/>
      <c r="G169" s="8">
        <f t="shared" si="50"/>
        <v>0</v>
      </c>
      <c r="H169" s="8">
        <f t="shared" si="53"/>
        <v>0</v>
      </c>
      <c r="I169" s="8">
        <f t="shared" si="51"/>
        <v>0</v>
      </c>
      <c r="J169" s="471">
        <f>J164-I169</f>
        <v>200</v>
      </c>
      <c r="K169" s="122"/>
      <c r="L169" s="15">
        <f t="shared" si="52"/>
        <v>0</v>
      </c>
    </row>
    <row r="170" spans="1:12" x14ac:dyDescent="0.2">
      <c r="A170" s="431"/>
      <c r="B170" s="112"/>
      <c r="C170" s="6"/>
      <c r="D170" s="6"/>
      <c r="E170" s="6"/>
      <c r="F170" s="6"/>
      <c r="G170" s="8">
        <f t="shared" si="50"/>
        <v>0</v>
      </c>
      <c r="H170" s="8">
        <f t="shared" si="53"/>
        <v>0</v>
      </c>
      <c r="I170" s="8">
        <f t="shared" si="51"/>
        <v>0</v>
      </c>
      <c r="J170" s="471">
        <f>J165-I170</f>
        <v>200</v>
      </c>
      <c r="K170" s="122"/>
      <c r="L170" s="15">
        <f t="shared" si="52"/>
        <v>0</v>
      </c>
    </row>
    <row r="171" spans="1:12" x14ac:dyDescent="0.2">
      <c r="A171" s="731" t="s">
        <v>18</v>
      </c>
      <c r="B171" s="732"/>
      <c r="C171" s="7">
        <f t="shared" ref="C171:I171" si="54">SUM(C164:C170)</f>
        <v>0</v>
      </c>
      <c r="D171" s="7">
        <f t="shared" si="54"/>
        <v>0</v>
      </c>
      <c r="E171" s="7">
        <f t="shared" si="54"/>
        <v>0</v>
      </c>
      <c r="F171" s="7">
        <f t="shared" si="54"/>
        <v>0</v>
      </c>
      <c r="G171" s="404">
        <f t="shared" si="54"/>
        <v>0</v>
      </c>
      <c r="H171" s="79">
        <f t="shared" si="54"/>
        <v>0</v>
      </c>
      <c r="I171" s="250">
        <f t="shared" si="54"/>
        <v>0</v>
      </c>
      <c r="J171" s="471">
        <f>J159-I171</f>
        <v>200</v>
      </c>
      <c r="K171" s="121"/>
      <c r="L171" s="4"/>
    </row>
    <row r="172" spans="1:12" x14ac:dyDescent="0.2">
      <c r="A172" s="4"/>
      <c r="B172" s="121"/>
      <c r="C172" s="7"/>
      <c r="D172" s="7"/>
      <c r="E172" s="7"/>
      <c r="F172" s="7"/>
      <c r="G172" s="8"/>
      <c r="H172" s="56" t="s">
        <v>46</v>
      </c>
      <c r="I172" s="62">
        <f>I171/J159%</f>
        <v>0</v>
      </c>
      <c r="J172" s="55">
        <f>J171/J159%</f>
        <v>100</v>
      </c>
      <c r="K172" s="121"/>
      <c r="L172" s="4"/>
    </row>
    <row r="174" spans="1:12" ht="15" x14ac:dyDescent="0.25">
      <c r="A174" s="93" t="s">
        <v>0</v>
      </c>
      <c r="B174" s="760" t="s">
        <v>253</v>
      </c>
      <c r="C174" s="761"/>
      <c r="D174" s="761"/>
      <c r="E174" s="761"/>
      <c r="F174" s="761"/>
      <c r="G174" s="761"/>
      <c r="H174" s="761"/>
      <c r="I174" s="762"/>
      <c r="J174" s="70" t="s">
        <v>11</v>
      </c>
      <c r="K174" s="739" t="s">
        <v>15</v>
      </c>
      <c r="L174" s="739"/>
    </row>
    <row r="175" spans="1:12" ht="14.25" x14ac:dyDescent="0.2">
      <c r="A175" s="93" t="s">
        <v>1</v>
      </c>
      <c r="B175" s="836" t="s">
        <v>233</v>
      </c>
      <c r="C175" s="836"/>
      <c r="D175" s="836"/>
      <c r="E175" s="836"/>
      <c r="F175" s="836"/>
      <c r="G175" s="836"/>
      <c r="H175" s="836"/>
      <c r="I175" s="836"/>
      <c r="J175" s="69">
        <v>500</v>
      </c>
      <c r="K175" s="739"/>
      <c r="L175" s="739"/>
    </row>
    <row r="176" spans="1:12" x14ac:dyDescent="0.2">
      <c r="A176" s="726" t="s">
        <v>3</v>
      </c>
      <c r="B176" s="726" t="s">
        <v>126</v>
      </c>
      <c r="C176" s="731" t="s">
        <v>19</v>
      </c>
      <c r="D176" s="837"/>
      <c r="E176" s="837"/>
      <c r="F176" s="732"/>
      <c r="G176" s="10" t="s">
        <v>34</v>
      </c>
      <c r="H176" s="838" t="s">
        <v>31</v>
      </c>
      <c r="I176" s="839"/>
      <c r="J176" s="81" t="s">
        <v>12</v>
      </c>
      <c r="K176" s="726" t="s">
        <v>3</v>
      </c>
      <c r="L176" s="4" t="s">
        <v>13</v>
      </c>
    </row>
    <row r="177" spans="1:12" x14ac:dyDescent="0.2">
      <c r="A177" s="726"/>
      <c r="B177" s="726"/>
      <c r="C177" s="94" t="s">
        <v>175</v>
      </c>
      <c r="D177" s="94" t="s">
        <v>173</v>
      </c>
      <c r="E177" s="22" t="s">
        <v>176</v>
      </c>
      <c r="F177" s="94" t="s">
        <v>174</v>
      </c>
      <c r="G177" s="462" t="s">
        <v>9</v>
      </c>
      <c r="H177" s="80" t="s">
        <v>8</v>
      </c>
      <c r="I177" s="457" t="s">
        <v>23</v>
      </c>
      <c r="J177" s="457" t="s">
        <v>23</v>
      </c>
      <c r="K177" s="726"/>
      <c r="L177" s="4" t="s">
        <v>14</v>
      </c>
    </row>
    <row r="178" spans="1:12" x14ac:dyDescent="0.2">
      <c r="A178" s="122"/>
      <c r="B178" s="338"/>
      <c r="C178" s="591" t="s">
        <v>257</v>
      </c>
      <c r="D178" s="592" t="s">
        <v>257</v>
      </c>
      <c r="E178" s="592" t="s">
        <v>258</v>
      </c>
      <c r="F178" s="592" t="s">
        <v>258</v>
      </c>
      <c r="G178" s="462"/>
      <c r="H178" s="80"/>
      <c r="I178" s="457"/>
      <c r="J178" s="457"/>
      <c r="K178" s="122"/>
      <c r="L178" s="4"/>
    </row>
    <row r="179" spans="1:12" x14ac:dyDescent="0.2">
      <c r="A179" s="401" t="s">
        <v>208</v>
      </c>
      <c r="B179" s="682">
        <v>45931</v>
      </c>
      <c r="C179" s="683">
        <v>799200</v>
      </c>
      <c r="D179" s="683">
        <v>1605060</v>
      </c>
      <c r="E179" s="683">
        <v>821400</v>
      </c>
      <c r="F179" s="684">
        <v>1704960</v>
      </c>
      <c r="G179" s="638"/>
      <c r="H179" s="638">
        <v>0.95</v>
      </c>
      <c r="I179" s="4"/>
      <c r="J179" s="12"/>
      <c r="K179" s="122"/>
      <c r="L179" s="4"/>
    </row>
    <row r="180" spans="1:12" x14ac:dyDescent="0.2">
      <c r="A180" s="431"/>
      <c r="B180" s="112"/>
      <c r="C180" s="6"/>
      <c r="D180" s="6"/>
      <c r="E180" s="6"/>
      <c r="F180" s="6"/>
      <c r="G180" s="8">
        <f t="shared" ref="G180:G188" si="55">C180*4+D180*4+E180*12+F180*12</f>
        <v>0</v>
      </c>
      <c r="H180" s="8">
        <f>(C180*C$179+D180*D$179+E180*E$179+F180*F$179)*H$179</f>
        <v>0</v>
      </c>
      <c r="I180" s="8">
        <f t="shared" ref="I180:I188" si="56">C180+D180+E180+F180</f>
        <v>0</v>
      </c>
      <c r="J180" s="471">
        <f>J175-I180</f>
        <v>500</v>
      </c>
      <c r="K180" s="122"/>
      <c r="L180" s="15">
        <f t="shared" ref="L180:L188" si="57">K180-A180</f>
        <v>0</v>
      </c>
    </row>
    <row r="181" spans="1:12" x14ac:dyDescent="0.2">
      <c r="A181" s="431"/>
      <c r="B181" s="112"/>
      <c r="C181" s="6"/>
      <c r="D181" s="6"/>
      <c r="E181" s="6"/>
      <c r="F181" s="6"/>
      <c r="G181" s="8">
        <f t="shared" si="55"/>
        <v>0</v>
      </c>
      <c r="H181" s="8">
        <f t="shared" ref="H181:H188" si="58">(C181*C$179+D181*D$179+E181*E$179+F181*F$179)*H$179</f>
        <v>0</v>
      </c>
      <c r="I181" s="8">
        <f t="shared" si="56"/>
        <v>0</v>
      </c>
      <c r="J181" s="471">
        <f t="shared" ref="J181:J186" si="59">J180-I181</f>
        <v>500</v>
      </c>
      <c r="K181" s="122"/>
      <c r="L181" s="15">
        <f t="shared" si="57"/>
        <v>0</v>
      </c>
    </row>
    <row r="182" spans="1:12" x14ac:dyDescent="0.2">
      <c r="A182" s="431"/>
      <c r="B182" s="112"/>
      <c r="C182" s="6"/>
      <c r="D182" s="6"/>
      <c r="E182" s="6"/>
      <c r="F182" s="6"/>
      <c r="G182" s="8">
        <f t="shared" si="55"/>
        <v>0</v>
      </c>
      <c r="H182" s="8">
        <f t="shared" si="58"/>
        <v>0</v>
      </c>
      <c r="I182" s="8">
        <f t="shared" si="56"/>
        <v>0</v>
      </c>
      <c r="J182" s="471">
        <f t="shared" si="59"/>
        <v>500</v>
      </c>
      <c r="K182" s="122"/>
      <c r="L182" s="15">
        <f t="shared" si="57"/>
        <v>0</v>
      </c>
    </row>
    <row r="183" spans="1:12" x14ac:dyDescent="0.2">
      <c r="A183" s="431"/>
      <c r="B183" s="112"/>
      <c r="C183" s="6"/>
      <c r="D183" s="6"/>
      <c r="E183" s="6"/>
      <c r="F183" s="6"/>
      <c r="G183" s="8">
        <f t="shared" si="55"/>
        <v>0</v>
      </c>
      <c r="H183" s="8">
        <f t="shared" si="58"/>
        <v>0</v>
      </c>
      <c r="I183" s="8">
        <f t="shared" si="56"/>
        <v>0</v>
      </c>
      <c r="J183" s="471">
        <f t="shared" si="59"/>
        <v>500</v>
      </c>
      <c r="K183" s="122"/>
      <c r="L183" s="15">
        <f t="shared" si="57"/>
        <v>0</v>
      </c>
    </row>
    <row r="184" spans="1:12" x14ac:dyDescent="0.2">
      <c r="A184" s="431"/>
      <c r="B184" s="112"/>
      <c r="C184" s="6"/>
      <c r="D184" s="6"/>
      <c r="E184" s="6"/>
      <c r="F184" s="6"/>
      <c r="G184" s="8">
        <f t="shared" si="55"/>
        <v>0</v>
      </c>
      <c r="H184" s="8">
        <f t="shared" si="58"/>
        <v>0</v>
      </c>
      <c r="I184" s="8">
        <f t="shared" si="56"/>
        <v>0</v>
      </c>
      <c r="J184" s="471">
        <f t="shared" si="59"/>
        <v>500</v>
      </c>
      <c r="K184" s="124"/>
      <c r="L184" s="15">
        <f t="shared" si="57"/>
        <v>0</v>
      </c>
    </row>
    <row r="185" spans="1:12" x14ac:dyDescent="0.2">
      <c r="A185" s="431"/>
      <c r="B185" s="112"/>
      <c r="C185" s="6"/>
      <c r="D185" s="6"/>
      <c r="E185" s="6"/>
      <c r="F185" s="6"/>
      <c r="G185" s="8">
        <f t="shared" si="55"/>
        <v>0</v>
      </c>
      <c r="H185" s="8">
        <f t="shared" si="58"/>
        <v>0</v>
      </c>
      <c r="I185" s="8">
        <f t="shared" si="56"/>
        <v>0</v>
      </c>
      <c r="J185" s="471">
        <f t="shared" si="59"/>
        <v>500</v>
      </c>
      <c r="K185" s="122"/>
      <c r="L185" s="15">
        <f t="shared" si="57"/>
        <v>0</v>
      </c>
    </row>
    <row r="186" spans="1:12" x14ac:dyDescent="0.2">
      <c r="A186" s="431"/>
      <c r="B186" s="112"/>
      <c r="C186" s="6"/>
      <c r="D186" s="6"/>
      <c r="E186" s="6"/>
      <c r="F186" s="6"/>
      <c r="G186" s="8">
        <f t="shared" si="55"/>
        <v>0</v>
      </c>
      <c r="H186" s="8">
        <f t="shared" si="58"/>
        <v>0</v>
      </c>
      <c r="I186" s="8">
        <f t="shared" si="56"/>
        <v>0</v>
      </c>
      <c r="J186" s="471">
        <f t="shared" si="59"/>
        <v>500</v>
      </c>
      <c r="K186" s="122"/>
      <c r="L186" s="15">
        <f t="shared" si="57"/>
        <v>0</v>
      </c>
    </row>
    <row r="187" spans="1:12" x14ac:dyDescent="0.2">
      <c r="A187" s="431"/>
      <c r="B187" s="112"/>
      <c r="C187" s="6"/>
      <c r="D187" s="6"/>
      <c r="E187" s="6"/>
      <c r="F187" s="6"/>
      <c r="G187" s="8">
        <f t="shared" si="55"/>
        <v>0</v>
      </c>
      <c r="H187" s="8">
        <f t="shared" si="58"/>
        <v>0</v>
      </c>
      <c r="I187" s="8">
        <f t="shared" si="56"/>
        <v>0</v>
      </c>
      <c r="J187" s="471">
        <f>J182-I187</f>
        <v>500</v>
      </c>
      <c r="K187" s="122"/>
      <c r="L187" s="15">
        <f t="shared" si="57"/>
        <v>0</v>
      </c>
    </row>
    <row r="188" spans="1:12" x14ac:dyDescent="0.2">
      <c r="A188" s="431"/>
      <c r="B188" s="112"/>
      <c r="C188" s="6"/>
      <c r="D188" s="6"/>
      <c r="E188" s="6"/>
      <c r="F188" s="6"/>
      <c r="G188" s="8">
        <f t="shared" si="55"/>
        <v>0</v>
      </c>
      <c r="H188" s="8">
        <f t="shared" si="58"/>
        <v>0</v>
      </c>
      <c r="I188" s="8">
        <f t="shared" si="56"/>
        <v>0</v>
      </c>
      <c r="J188" s="471">
        <f>J183-I188</f>
        <v>500</v>
      </c>
      <c r="K188" s="122"/>
      <c r="L188" s="15">
        <f t="shared" si="57"/>
        <v>0</v>
      </c>
    </row>
    <row r="189" spans="1:12" x14ac:dyDescent="0.2">
      <c r="A189" s="731" t="s">
        <v>18</v>
      </c>
      <c r="B189" s="732"/>
      <c r="C189" s="7">
        <f t="shared" ref="C189:I189" si="60">SUM(C180:C188)</f>
        <v>0</v>
      </c>
      <c r="D189" s="7">
        <f t="shared" si="60"/>
        <v>0</v>
      </c>
      <c r="E189" s="7">
        <f t="shared" si="60"/>
        <v>0</v>
      </c>
      <c r="F189" s="7">
        <f t="shared" si="60"/>
        <v>0</v>
      </c>
      <c r="G189" s="404">
        <f t="shared" si="60"/>
        <v>0</v>
      </c>
      <c r="H189" s="79">
        <f t="shared" si="60"/>
        <v>0</v>
      </c>
      <c r="I189" s="250">
        <f t="shared" si="60"/>
        <v>0</v>
      </c>
      <c r="J189" s="471">
        <f>J175-I189</f>
        <v>500</v>
      </c>
      <c r="K189" s="121"/>
      <c r="L189" s="4"/>
    </row>
    <row r="190" spans="1:12" x14ac:dyDescent="0.2">
      <c r="A190" s="4"/>
      <c r="B190" s="121"/>
      <c r="C190" s="7"/>
      <c r="D190" s="7"/>
      <c r="E190" s="7"/>
      <c r="F190" s="7"/>
      <c r="G190" s="8"/>
      <c r="H190" s="56" t="s">
        <v>46</v>
      </c>
      <c r="I190" s="62">
        <f>I189/J175%</f>
        <v>0</v>
      </c>
      <c r="J190" s="55">
        <f>J189/J175%</f>
        <v>100</v>
      </c>
      <c r="K190" s="121"/>
      <c r="L190" s="4"/>
    </row>
    <row r="192" spans="1:12" ht="15" x14ac:dyDescent="0.25">
      <c r="A192" s="93" t="s">
        <v>0</v>
      </c>
      <c r="B192" s="760" t="s">
        <v>253</v>
      </c>
      <c r="C192" s="761"/>
      <c r="D192" s="761"/>
      <c r="E192" s="761"/>
      <c r="F192" s="761"/>
      <c r="G192" s="761"/>
      <c r="H192" s="761"/>
      <c r="I192" s="762"/>
      <c r="J192" s="70" t="s">
        <v>11</v>
      </c>
      <c r="K192" s="739" t="s">
        <v>15</v>
      </c>
      <c r="L192" s="739"/>
    </row>
    <row r="193" spans="1:12" ht="14.25" x14ac:dyDescent="0.2">
      <c r="A193" s="93" t="s">
        <v>1</v>
      </c>
      <c r="B193" s="836" t="s">
        <v>272</v>
      </c>
      <c r="C193" s="836"/>
      <c r="D193" s="836"/>
      <c r="E193" s="836"/>
      <c r="F193" s="836"/>
      <c r="G193" s="836"/>
      <c r="H193" s="836"/>
      <c r="I193" s="836"/>
      <c r="J193" s="69">
        <v>50</v>
      </c>
      <c r="K193" s="739"/>
      <c r="L193" s="739"/>
    </row>
    <row r="194" spans="1:12" x14ac:dyDescent="0.2">
      <c r="A194" s="726" t="s">
        <v>3</v>
      </c>
      <c r="B194" s="726" t="s">
        <v>126</v>
      </c>
      <c r="C194" s="731" t="s">
        <v>19</v>
      </c>
      <c r="D194" s="837"/>
      <c r="E194" s="837"/>
      <c r="F194" s="732"/>
      <c r="G194" s="10" t="s">
        <v>34</v>
      </c>
      <c r="H194" s="838" t="s">
        <v>31</v>
      </c>
      <c r="I194" s="839"/>
      <c r="J194" s="81" t="s">
        <v>12</v>
      </c>
      <c r="K194" s="726" t="s">
        <v>3</v>
      </c>
      <c r="L194" s="4" t="s">
        <v>13</v>
      </c>
    </row>
    <row r="195" spans="1:12" x14ac:dyDescent="0.2">
      <c r="A195" s="726"/>
      <c r="B195" s="726"/>
      <c r="C195" s="22" t="s">
        <v>175</v>
      </c>
      <c r="D195" s="22" t="s">
        <v>176</v>
      </c>
      <c r="E195" s="22" t="s">
        <v>175</v>
      </c>
      <c r="F195" s="22" t="s">
        <v>174</v>
      </c>
      <c r="G195" s="462" t="s">
        <v>9</v>
      </c>
      <c r="H195" s="80" t="s">
        <v>8</v>
      </c>
      <c r="I195" s="457" t="s">
        <v>23</v>
      </c>
      <c r="J195" s="457" t="s">
        <v>23</v>
      </c>
      <c r="K195" s="726"/>
      <c r="L195" s="4" t="s">
        <v>14</v>
      </c>
    </row>
    <row r="196" spans="1:12" x14ac:dyDescent="0.2">
      <c r="A196" s="12"/>
      <c r="B196" s="338"/>
      <c r="C196" s="591" t="s">
        <v>257</v>
      </c>
      <c r="D196" s="592" t="s">
        <v>257</v>
      </c>
      <c r="E196" s="592" t="s">
        <v>258</v>
      </c>
      <c r="F196" s="592" t="s">
        <v>258</v>
      </c>
      <c r="G196" s="256"/>
      <c r="H196" s="38"/>
      <c r="I196" s="4"/>
      <c r="J196" s="12"/>
      <c r="K196" s="122"/>
      <c r="L196" s="4"/>
    </row>
    <row r="197" spans="1:12" x14ac:dyDescent="0.2">
      <c r="A197" s="401" t="s">
        <v>208</v>
      </c>
      <c r="B197" s="682">
        <v>45931</v>
      </c>
      <c r="C197" s="683">
        <v>799200</v>
      </c>
      <c r="D197" s="683">
        <v>1605060</v>
      </c>
      <c r="E197" s="683">
        <v>821400</v>
      </c>
      <c r="F197" s="684">
        <v>1704960</v>
      </c>
      <c r="G197" s="256"/>
      <c r="H197" s="38"/>
      <c r="I197" s="4"/>
      <c r="J197" s="12"/>
      <c r="K197" s="122"/>
      <c r="L197" s="4"/>
    </row>
    <row r="198" spans="1:12" x14ac:dyDescent="0.2">
      <c r="A198" s="431"/>
      <c r="B198" s="112"/>
      <c r="C198" s="6"/>
      <c r="D198" s="6"/>
      <c r="E198" s="6"/>
      <c r="F198" s="6"/>
      <c r="G198" s="8">
        <f t="shared" ref="G198:G207" si="61">C198*4+D198*4+E198*12+F198*12</f>
        <v>0</v>
      </c>
      <c r="H198" s="8">
        <f>(C198*C$197+D198*D$197+E198*E$197+F198*F$197)</f>
        <v>0</v>
      </c>
      <c r="I198" s="8">
        <f t="shared" ref="I198:I207" si="62">C198+D198+E198+F198</f>
        <v>0</v>
      </c>
      <c r="J198" s="471">
        <f>J193-I198</f>
        <v>50</v>
      </c>
      <c r="K198" s="122"/>
      <c r="L198" s="15">
        <f t="shared" ref="L198:L207" si="63">K198-A198</f>
        <v>0</v>
      </c>
    </row>
    <row r="199" spans="1:12" x14ac:dyDescent="0.2">
      <c r="A199" s="431"/>
      <c r="B199" s="112"/>
      <c r="C199" s="6"/>
      <c r="D199" s="6"/>
      <c r="E199" s="6"/>
      <c r="F199" s="6"/>
      <c r="G199" s="8">
        <f t="shared" si="61"/>
        <v>0</v>
      </c>
      <c r="H199" s="8">
        <f t="shared" ref="H199:H207" si="64">(C199*C$197+D199*D$197+E199*E$197+F199*F$197)</f>
        <v>0</v>
      </c>
      <c r="I199" s="8">
        <f t="shared" si="62"/>
        <v>0</v>
      </c>
      <c r="J199" s="471">
        <f>J198-I199</f>
        <v>50</v>
      </c>
      <c r="K199" s="122"/>
      <c r="L199" s="15">
        <f t="shared" si="63"/>
        <v>0</v>
      </c>
    </row>
    <row r="200" spans="1:12" x14ac:dyDescent="0.2">
      <c r="A200" s="431"/>
      <c r="B200" s="112"/>
      <c r="C200" s="6"/>
      <c r="D200" s="6"/>
      <c r="E200" s="6"/>
      <c r="F200" s="6"/>
      <c r="G200" s="8">
        <f t="shared" si="61"/>
        <v>0</v>
      </c>
      <c r="H200" s="8">
        <f t="shared" si="64"/>
        <v>0</v>
      </c>
      <c r="I200" s="8">
        <f t="shared" si="62"/>
        <v>0</v>
      </c>
      <c r="J200" s="471">
        <f>J199-I200</f>
        <v>50</v>
      </c>
      <c r="K200" s="122"/>
      <c r="L200" s="15">
        <f t="shared" si="63"/>
        <v>0</v>
      </c>
    </row>
    <row r="201" spans="1:12" x14ac:dyDescent="0.2">
      <c r="A201" s="431"/>
      <c r="B201" s="112"/>
      <c r="C201" s="6"/>
      <c r="D201" s="6"/>
      <c r="E201" s="6"/>
      <c r="F201" s="6"/>
      <c r="G201" s="8">
        <f t="shared" si="61"/>
        <v>0</v>
      </c>
      <c r="H201" s="8">
        <f t="shared" si="64"/>
        <v>0</v>
      </c>
      <c r="I201" s="8">
        <f t="shared" si="62"/>
        <v>0</v>
      </c>
      <c r="J201" s="471">
        <f>J200-I201</f>
        <v>50</v>
      </c>
      <c r="K201" s="122"/>
      <c r="L201" s="15">
        <f t="shared" si="63"/>
        <v>0</v>
      </c>
    </row>
    <row r="202" spans="1:12" x14ac:dyDescent="0.2">
      <c r="A202" s="431"/>
      <c r="B202" s="112"/>
      <c r="C202" s="6"/>
      <c r="D202" s="6"/>
      <c r="E202" s="6"/>
      <c r="F202" s="6"/>
      <c r="G202" s="8">
        <f t="shared" si="61"/>
        <v>0</v>
      </c>
      <c r="H202" s="8">
        <f t="shared" si="64"/>
        <v>0</v>
      </c>
      <c r="I202" s="8">
        <f t="shared" si="62"/>
        <v>0</v>
      </c>
      <c r="J202" s="471">
        <f>J201-I202</f>
        <v>50</v>
      </c>
      <c r="K202" s="124"/>
      <c r="L202" s="15">
        <f t="shared" si="63"/>
        <v>0</v>
      </c>
    </row>
    <row r="203" spans="1:12" x14ac:dyDescent="0.2">
      <c r="A203" s="431"/>
      <c r="B203" s="112"/>
      <c r="C203" s="6"/>
      <c r="D203" s="6"/>
      <c r="E203" s="6"/>
      <c r="F203" s="6"/>
      <c r="G203" s="8">
        <f t="shared" si="61"/>
        <v>0</v>
      </c>
      <c r="H203" s="8">
        <f t="shared" si="64"/>
        <v>0</v>
      </c>
      <c r="I203" s="8">
        <f t="shared" si="62"/>
        <v>0</v>
      </c>
      <c r="J203" s="471">
        <f>J198-I203</f>
        <v>50</v>
      </c>
      <c r="K203" s="122"/>
      <c r="L203" s="15">
        <f t="shared" si="63"/>
        <v>0</v>
      </c>
    </row>
    <row r="204" spans="1:12" x14ac:dyDescent="0.2">
      <c r="A204" s="431"/>
      <c r="B204" s="112"/>
      <c r="C204" s="6"/>
      <c r="D204" s="6"/>
      <c r="E204" s="6"/>
      <c r="F204" s="6"/>
      <c r="G204" s="8">
        <f t="shared" si="61"/>
        <v>0</v>
      </c>
      <c r="H204" s="8">
        <f t="shared" si="64"/>
        <v>0</v>
      </c>
      <c r="I204" s="8">
        <f t="shared" si="62"/>
        <v>0</v>
      </c>
      <c r="J204" s="471">
        <f>J199-I204</f>
        <v>50</v>
      </c>
      <c r="K204" s="122"/>
      <c r="L204" s="15">
        <f t="shared" si="63"/>
        <v>0</v>
      </c>
    </row>
    <row r="205" spans="1:12" x14ac:dyDescent="0.2">
      <c r="A205" s="431"/>
      <c r="B205" s="112"/>
      <c r="C205" s="6"/>
      <c r="D205" s="6"/>
      <c r="E205" s="6"/>
      <c r="F205" s="6"/>
      <c r="G205" s="8">
        <f t="shared" si="61"/>
        <v>0</v>
      </c>
      <c r="H205" s="8">
        <f t="shared" si="64"/>
        <v>0</v>
      </c>
      <c r="I205" s="8">
        <f t="shared" si="62"/>
        <v>0</v>
      </c>
      <c r="J205" s="471">
        <f>J200-I205</f>
        <v>50</v>
      </c>
      <c r="K205" s="122"/>
      <c r="L205" s="15">
        <f t="shared" si="63"/>
        <v>0</v>
      </c>
    </row>
    <row r="206" spans="1:12" x14ac:dyDescent="0.2">
      <c r="A206" s="431"/>
      <c r="B206" s="112"/>
      <c r="C206" s="6"/>
      <c r="D206" s="6"/>
      <c r="E206" s="6"/>
      <c r="F206" s="6"/>
      <c r="G206" s="8">
        <f t="shared" si="61"/>
        <v>0</v>
      </c>
      <c r="H206" s="8">
        <f t="shared" si="64"/>
        <v>0</v>
      </c>
      <c r="I206" s="8">
        <f t="shared" si="62"/>
        <v>0</v>
      </c>
      <c r="J206" s="471">
        <f>J201-I206</f>
        <v>50</v>
      </c>
      <c r="K206" s="122"/>
      <c r="L206" s="15">
        <f t="shared" si="63"/>
        <v>0</v>
      </c>
    </row>
    <row r="207" spans="1:12" x14ac:dyDescent="0.2">
      <c r="A207" s="431"/>
      <c r="B207" s="112"/>
      <c r="C207" s="6"/>
      <c r="D207" s="6"/>
      <c r="E207" s="6"/>
      <c r="F207" s="6"/>
      <c r="G207" s="8">
        <f t="shared" si="61"/>
        <v>0</v>
      </c>
      <c r="H207" s="8">
        <f t="shared" si="64"/>
        <v>0</v>
      </c>
      <c r="I207" s="8">
        <f t="shared" si="62"/>
        <v>0</v>
      </c>
      <c r="J207" s="471">
        <f>J202-I207</f>
        <v>50</v>
      </c>
      <c r="K207" s="122"/>
      <c r="L207" s="15">
        <f t="shared" si="63"/>
        <v>0</v>
      </c>
    </row>
    <row r="208" spans="1:12" x14ac:dyDescent="0.2">
      <c r="A208" s="731" t="s">
        <v>18</v>
      </c>
      <c r="B208" s="732"/>
      <c r="C208" s="7">
        <f t="shared" ref="C208:I208" si="65">SUM(C198:C207)</f>
        <v>0</v>
      </c>
      <c r="D208" s="7">
        <f t="shared" si="65"/>
        <v>0</v>
      </c>
      <c r="E208" s="7">
        <f t="shared" si="65"/>
        <v>0</v>
      </c>
      <c r="F208" s="7">
        <f t="shared" si="65"/>
        <v>0</v>
      </c>
      <c r="G208" s="404">
        <f t="shared" si="65"/>
        <v>0</v>
      </c>
      <c r="H208" s="79">
        <f t="shared" si="65"/>
        <v>0</v>
      </c>
      <c r="I208" s="250">
        <f t="shared" si="65"/>
        <v>0</v>
      </c>
      <c r="J208" s="471">
        <f>J193-I208</f>
        <v>50</v>
      </c>
      <c r="K208" s="121"/>
      <c r="L208" s="4"/>
    </row>
    <row r="209" spans="1:12" x14ac:dyDescent="0.2">
      <c r="A209" s="4"/>
      <c r="B209" s="121"/>
      <c r="C209" s="7"/>
      <c r="D209" s="7"/>
      <c r="E209" s="7"/>
      <c r="F209" s="7"/>
      <c r="G209" s="8"/>
      <c r="H209" s="56" t="s">
        <v>46</v>
      </c>
      <c r="I209" s="62">
        <f>I208/J193%</f>
        <v>0</v>
      </c>
      <c r="J209" s="55">
        <f>J208/J193%</f>
        <v>100</v>
      </c>
      <c r="K209" s="121"/>
      <c r="L209" s="4"/>
    </row>
    <row r="210" spans="1:12" x14ac:dyDescent="0.2">
      <c r="H210" s="555"/>
    </row>
    <row r="211" spans="1:12" ht="15" x14ac:dyDescent="0.25">
      <c r="A211" s="93" t="s">
        <v>0</v>
      </c>
      <c r="B211" s="760" t="s">
        <v>253</v>
      </c>
      <c r="C211" s="761"/>
      <c r="D211" s="761"/>
      <c r="E211" s="761"/>
      <c r="F211" s="761"/>
      <c r="G211" s="761"/>
      <c r="H211" s="761"/>
      <c r="I211" s="762"/>
      <c r="J211" s="70" t="s">
        <v>11</v>
      </c>
      <c r="K211" s="739" t="s">
        <v>15</v>
      </c>
      <c r="L211" s="739"/>
    </row>
    <row r="212" spans="1:12" ht="14.25" x14ac:dyDescent="0.2">
      <c r="A212" s="93" t="s">
        <v>1</v>
      </c>
      <c r="B212" s="836" t="s">
        <v>273</v>
      </c>
      <c r="C212" s="836"/>
      <c r="D212" s="836"/>
      <c r="E212" s="836"/>
      <c r="F212" s="836"/>
      <c r="G212" s="836"/>
      <c r="H212" s="836"/>
      <c r="I212" s="836"/>
      <c r="J212" s="69">
        <v>10</v>
      </c>
      <c r="K212" s="739"/>
      <c r="L212" s="739"/>
    </row>
    <row r="213" spans="1:12" x14ac:dyDescent="0.2">
      <c r="A213" s="726" t="s">
        <v>3</v>
      </c>
      <c r="B213" s="726" t="s">
        <v>126</v>
      </c>
      <c r="C213" s="731" t="s">
        <v>19</v>
      </c>
      <c r="D213" s="837"/>
      <c r="E213" s="837"/>
      <c r="F213" s="732"/>
      <c r="G213" s="10" t="s">
        <v>34</v>
      </c>
      <c r="H213" s="838" t="s">
        <v>31</v>
      </c>
      <c r="I213" s="839"/>
      <c r="J213" s="81" t="s">
        <v>12</v>
      </c>
      <c r="K213" s="726" t="s">
        <v>3</v>
      </c>
      <c r="L213" s="4" t="s">
        <v>13</v>
      </c>
    </row>
    <row r="214" spans="1:12" x14ac:dyDescent="0.2">
      <c r="A214" s="726"/>
      <c r="B214" s="726"/>
      <c r="C214" s="22" t="s">
        <v>175</v>
      </c>
      <c r="D214" s="22" t="s">
        <v>176</v>
      </c>
      <c r="E214" s="22" t="s">
        <v>175</v>
      </c>
      <c r="F214" s="22" t="s">
        <v>174</v>
      </c>
      <c r="G214" s="462" t="s">
        <v>9</v>
      </c>
      <c r="H214" s="80" t="s">
        <v>8</v>
      </c>
      <c r="I214" s="457" t="s">
        <v>23</v>
      </c>
      <c r="J214" s="457" t="s">
        <v>23</v>
      </c>
      <c r="K214" s="726"/>
      <c r="L214" s="4" t="s">
        <v>14</v>
      </c>
    </row>
    <row r="215" spans="1:12" x14ac:dyDescent="0.2">
      <c r="A215" s="12"/>
      <c r="B215" s="338"/>
      <c r="C215" s="591" t="s">
        <v>257</v>
      </c>
      <c r="D215" s="592" t="s">
        <v>257</v>
      </c>
      <c r="E215" s="592" t="s">
        <v>258</v>
      </c>
      <c r="F215" s="592" t="s">
        <v>258</v>
      </c>
      <c r="G215" s="256"/>
      <c r="H215" s="38"/>
      <c r="I215" s="4"/>
      <c r="J215" s="12"/>
      <c r="K215" s="122"/>
      <c r="L215" s="4"/>
    </row>
    <row r="216" spans="1:12" x14ac:dyDescent="0.2">
      <c r="A216" s="401" t="s">
        <v>208</v>
      </c>
      <c r="B216" s="682">
        <v>45931</v>
      </c>
      <c r="C216" s="683">
        <v>799200</v>
      </c>
      <c r="D216" s="683">
        <v>1605060</v>
      </c>
      <c r="E216" s="683">
        <v>821400</v>
      </c>
      <c r="F216" s="684">
        <v>1704960</v>
      </c>
      <c r="G216" s="256"/>
      <c r="H216" s="38"/>
      <c r="I216" s="4"/>
      <c r="J216" s="12"/>
      <c r="K216" s="122"/>
      <c r="L216" s="4"/>
    </row>
    <row r="217" spans="1:12" x14ac:dyDescent="0.2">
      <c r="A217" s="121"/>
      <c r="B217" s="440"/>
      <c r="C217" s="6"/>
      <c r="D217" s="6"/>
      <c r="E217" s="6"/>
      <c r="F217" s="6"/>
      <c r="G217" s="8">
        <f>C217*4+D217*4+E217*12+F217*12</f>
        <v>0</v>
      </c>
      <c r="H217" s="8">
        <f>(C217*C$216+D217*D$216+E217*E$216+F217*F$216)</f>
        <v>0</v>
      </c>
      <c r="I217" s="8">
        <f>C217+D217+E217+F217</f>
        <v>0</v>
      </c>
      <c r="J217" s="471">
        <f>J212-I217</f>
        <v>10</v>
      </c>
      <c r="K217" s="122"/>
      <c r="L217" s="15">
        <f>K217-A217</f>
        <v>0</v>
      </c>
    </row>
    <row r="218" spans="1:12" x14ac:dyDescent="0.2">
      <c r="A218" s="431"/>
      <c r="B218" s="112"/>
      <c r="C218" s="6"/>
      <c r="D218" s="6"/>
      <c r="E218" s="6"/>
      <c r="F218" s="6"/>
      <c r="G218" s="8">
        <f>C218*4+D218*4+E218*12+F218*12</f>
        <v>0</v>
      </c>
      <c r="H218" s="8">
        <f>(C218*C$216+D218*D$216+E218*E$216+F218*F$216)</f>
        <v>0</v>
      </c>
      <c r="I218" s="8">
        <f>C218+D218+E218+F218</f>
        <v>0</v>
      </c>
      <c r="J218" s="471">
        <f>J217-I218</f>
        <v>10</v>
      </c>
      <c r="K218" s="122"/>
      <c r="L218" s="15">
        <f>K218-A218</f>
        <v>0</v>
      </c>
    </row>
    <row r="219" spans="1:12" ht="13.5" customHeight="1" x14ac:dyDescent="0.2">
      <c r="A219" s="431"/>
      <c r="B219" s="112"/>
      <c r="C219" s="6"/>
      <c r="D219" s="6"/>
      <c r="E219" s="6"/>
      <c r="F219" s="6"/>
      <c r="G219" s="8">
        <f>C219*4+D219*4+E219*12+F219*12</f>
        <v>0</v>
      </c>
      <c r="H219" s="8">
        <f>(C219*C$216+D219*D$216+E219*E$216+F219*F$216)</f>
        <v>0</v>
      </c>
      <c r="I219" s="8">
        <f>C219+D219+E219+F219</f>
        <v>0</v>
      </c>
      <c r="J219" s="471">
        <f>J218-I219</f>
        <v>10</v>
      </c>
      <c r="K219" s="122"/>
      <c r="L219" s="15">
        <f>K219-A219</f>
        <v>0</v>
      </c>
    </row>
    <row r="220" spans="1:12" x14ac:dyDescent="0.2">
      <c r="A220" s="431"/>
      <c r="B220" s="112"/>
      <c r="C220" s="6"/>
      <c r="D220" s="6"/>
      <c r="E220" s="6"/>
      <c r="F220" s="6"/>
      <c r="G220" s="8">
        <f>C220*4+D220*4+E220*12+F220*12</f>
        <v>0</v>
      </c>
      <c r="H220" s="8">
        <f>(C220*C$216+D220*D$216+E220*E$216+F220*F$216)</f>
        <v>0</v>
      </c>
      <c r="I220" s="8">
        <f>C220+D220+E220+F220</f>
        <v>0</v>
      </c>
      <c r="J220" s="471">
        <f>J219-I220</f>
        <v>10</v>
      </c>
      <c r="K220" s="122"/>
      <c r="L220" s="15">
        <f>K220-A220</f>
        <v>0</v>
      </c>
    </row>
    <row r="221" spans="1:12" x14ac:dyDescent="0.2">
      <c r="A221" s="431"/>
      <c r="B221" s="112"/>
      <c r="C221" s="6"/>
      <c r="D221" s="6"/>
      <c r="E221" s="6"/>
      <c r="F221" s="6"/>
      <c r="G221" s="8">
        <f>C221*4+D221*4+E221*12+F221*12</f>
        <v>0</v>
      </c>
      <c r="H221" s="8">
        <f>(C221*C$216+D221*D$216+E221*E$216+F221*F$216)</f>
        <v>0</v>
      </c>
      <c r="I221" s="8">
        <f>C221+D221+E221+F221</f>
        <v>0</v>
      </c>
      <c r="J221" s="471">
        <f>J220-I221</f>
        <v>10</v>
      </c>
      <c r="K221" s="124"/>
      <c r="L221" s="15">
        <f>K221-A221</f>
        <v>0</v>
      </c>
    </row>
    <row r="222" spans="1:12" x14ac:dyDescent="0.2">
      <c r="A222" s="731" t="s">
        <v>18</v>
      </c>
      <c r="B222" s="732"/>
      <c r="C222" s="7"/>
      <c r="D222" s="7"/>
      <c r="E222" s="7"/>
      <c r="F222" s="7"/>
      <c r="G222" s="404">
        <f>SUM(G217:G221)</f>
        <v>0</v>
      </c>
      <c r="H222" s="79">
        <f>SUM(H217:H221)</f>
        <v>0</v>
      </c>
      <c r="I222" s="250">
        <f>SUM(I217:I221)</f>
        <v>0</v>
      </c>
      <c r="J222" s="471">
        <f>J221-I222</f>
        <v>10</v>
      </c>
      <c r="K222" s="121"/>
      <c r="L222" s="4"/>
    </row>
    <row r="223" spans="1:12" x14ac:dyDescent="0.2">
      <c r="A223" s="4"/>
      <c r="B223" s="121"/>
      <c r="C223" s="7"/>
      <c r="D223" s="7"/>
      <c r="E223" s="7"/>
      <c r="F223" s="7"/>
      <c r="G223" s="8"/>
      <c r="H223" s="56" t="s">
        <v>46</v>
      </c>
      <c r="I223" s="62">
        <f>I222/J207%</f>
        <v>0</v>
      </c>
      <c r="J223" s="55">
        <f>J222/J212%</f>
        <v>100</v>
      </c>
      <c r="K223" s="121"/>
      <c r="L223" s="4"/>
    </row>
    <row r="225" spans="1:10" x14ac:dyDescent="0.2">
      <c r="A225" s="789" t="s">
        <v>137</v>
      </c>
      <c r="B225" s="789"/>
      <c r="C225" s="789"/>
      <c r="D225" s="789"/>
      <c r="E225" s="789"/>
      <c r="F225" s="789"/>
      <c r="G225" s="59">
        <f>J212+J193+J175+J159+J121+J103+J75+J54+J24+J4</f>
        <v>2560</v>
      </c>
    </row>
    <row r="226" spans="1:10" x14ac:dyDescent="0.2">
      <c r="G226" s="32"/>
    </row>
    <row r="227" spans="1:10" x14ac:dyDescent="0.2">
      <c r="A227" s="840" t="s">
        <v>138</v>
      </c>
      <c r="B227" s="840"/>
      <c r="C227" s="840"/>
      <c r="D227" s="840"/>
      <c r="E227" s="840"/>
      <c r="F227" s="840"/>
      <c r="G227" s="77">
        <f>I222+I208+I189+I171+I155+I116+I98+I70+I49+I20</f>
        <v>33</v>
      </c>
    </row>
    <row r="228" spans="1:10" x14ac:dyDescent="0.2">
      <c r="G228" s="32"/>
    </row>
    <row r="229" spans="1:10" x14ac:dyDescent="0.2">
      <c r="A229" s="830" t="s">
        <v>139</v>
      </c>
      <c r="B229" s="830"/>
      <c r="C229" s="830"/>
      <c r="D229" s="830"/>
      <c r="E229" s="830"/>
      <c r="F229" s="830"/>
      <c r="G229" s="407">
        <f>G225-G227</f>
        <v>2527</v>
      </c>
      <c r="H229" s="71"/>
      <c r="J229" s="2"/>
    </row>
    <row r="230" spans="1:10" x14ac:dyDescent="0.2">
      <c r="G230" s="32"/>
    </row>
    <row r="231" spans="1:10" x14ac:dyDescent="0.2">
      <c r="A231" s="748" t="s">
        <v>50</v>
      </c>
      <c r="B231" s="748"/>
      <c r="C231" s="748"/>
      <c r="D231" s="748"/>
      <c r="E231" s="748"/>
      <c r="F231" s="748"/>
      <c r="G231" s="61">
        <f>G227/G225%</f>
        <v>1.2890625</v>
      </c>
    </row>
    <row r="232" spans="1:10" x14ac:dyDescent="0.2">
      <c r="A232" s="73"/>
      <c r="B232" s="127"/>
      <c r="C232" s="73"/>
      <c r="D232" s="73"/>
      <c r="E232" s="73"/>
      <c r="F232" s="73"/>
      <c r="G232" s="66"/>
    </row>
    <row r="233" spans="1:10" x14ac:dyDescent="0.2">
      <c r="A233" s="68" t="s">
        <v>51</v>
      </c>
      <c r="B233" s="128"/>
      <c r="C233" s="68"/>
      <c r="D233" s="68"/>
      <c r="E233" s="68"/>
      <c r="F233" s="68"/>
      <c r="G233" s="406">
        <f>G229/G225%</f>
        <v>98.7109375</v>
      </c>
    </row>
    <row r="235" spans="1:10" x14ac:dyDescent="0.2">
      <c r="A235" s="75" t="s">
        <v>142</v>
      </c>
      <c r="B235" s="133"/>
      <c r="C235" s="75"/>
      <c r="D235" s="75"/>
      <c r="E235" s="75"/>
      <c r="F235" s="72"/>
      <c r="G235" s="76">
        <f>G222+G208+G189+G171+G155+G116+G98+G70+G49+G20</f>
        <v>324</v>
      </c>
    </row>
    <row r="237" spans="1:10" x14ac:dyDescent="0.2">
      <c r="A237" s="791" t="s">
        <v>117</v>
      </c>
      <c r="B237" s="791"/>
      <c r="C237" s="791"/>
      <c r="D237" s="791"/>
      <c r="E237" s="791"/>
      <c r="F237" s="791"/>
      <c r="G237" s="792">
        <f>H222+H208+H189+H171+H155+H116+H98+H70+H49+H20</f>
        <v>42925920</v>
      </c>
      <c r="H237" s="792"/>
    </row>
  </sheetData>
  <mergeCells count="98">
    <mergeCell ref="A222:B222"/>
    <mergeCell ref="A70:B70"/>
    <mergeCell ref="B53:I53"/>
    <mergeCell ref="K53:L54"/>
    <mergeCell ref="B54:I54"/>
    <mergeCell ref="A55:A56"/>
    <mergeCell ref="B55:B56"/>
    <mergeCell ref="C55:F55"/>
    <mergeCell ref="H55:I55"/>
    <mergeCell ref="K55:K56"/>
    <mergeCell ref="A2:J2"/>
    <mergeCell ref="A1:L1"/>
    <mergeCell ref="A104:A105"/>
    <mergeCell ref="B104:B105"/>
    <mergeCell ref="C104:F104"/>
    <mergeCell ref="H104:I104"/>
    <mergeCell ref="K104:K105"/>
    <mergeCell ref="B5:B6"/>
    <mergeCell ref="C5:F5"/>
    <mergeCell ref="H5:I5"/>
    <mergeCell ref="A116:B116"/>
    <mergeCell ref="B3:I3"/>
    <mergeCell ref="K3:L4"/>
    <mergeCell ref="B4:I4"/>
    <mergeCell ref="K122:K123"/>
    <mergeCell ref="A20:B20"/>
    <mergeCell ref="B121:I121"/>
    <mergeCell ref="A122:A123"/>
    <mergeCell ref="B122:B123"/>
    <mergeCell ref="A5:A6"/>
    <mergeCell ref="A237:F237"/>
    <mergeCell ref="G237:H237"/>
    <mergeCell ref="B120:I120"/>
    <mergeCell ref="A155:B155"/>
    <mergeCell ref="A231:F231"/>
    <mergeCell ref="A229:F229"/>
    <mergeCell ref="A227:F227"/>
    <mergeCell ref="A225:F225"/>
    <mergeCell ref="B158:I158"/>
    <mergeCell ref="A171:B171"/>
    <mergeCell ref="K5:K6"/>
    <mergeCell ref="C122:F122"/>
    <mergeCell ref="K120:L121"/>
    <mergeCell ref="H122:I122"/>
    <mergeCell ref="B102:I102"/>
    <mergeCell ref="K102:L103"/>
    <mergeCell ref="B103:I103"/>
    <mergeCell ref="B74:I74"/>
    <mergeCell ref="A98:B98"/>
    <mergeCell ref="K74:L75"/>
    <mergeCell ref="K158:L159"/>
    <mergeCell ref="B159:I159"/>
    <mergeCell ref="A160:A161"/>
    <mergeCell ref="B160:B161"/>
    <mergeCell ref="C160:F160"/>
    <mergeCell ref="H160:I160"/>
    <mergeCell ref="K160:K161"/>
    <mergeCell ref="B75:I75"/>
    <mergeCell ref="A76:A77"/>
    <mergeCell ref="B76:B77"/>
    <mergeCell ref="C76:F76"/>
    <mergeCell ref="H76:I76"/>
    <mergeCell ref="K76:K77"/>
    <mergeCell ref="B174:I174"/>
    <mergeCell ref="K174:L175"/>
    <mergeCell ref="B175:I175"/>
    <mergeCell ref="A176:A177"/>
    <mergeCell ref="B176:B177"/>
    <mergeCell ref="C176:F176"/>
    <mergeCell ref="H176:I176"/>
    <mergeCell ref="K176:K177"/>
    <mergeCell ref="A49:B49"/>
    <mergeCell ref="B23:I23"/>
    <mergeCell ref="K23:L24"/>
    <mergeCell ref="B24:I24"/>
    <mergeCell ref="A25:A26"/>
    <mergeCell ref="B25:B26"/>
    <mergeCell ref="C25:F25"/>
    <mergeCell ref="H25:I25"/>
    <mergeCell ref="K25:K26"/>
    <mergeCell ref="B192:I192"/>
    <mergeCell ref="K192:L193"/>
    <mergeCell ref="B193:I193"/>
    <mergeCell ref="A194:A195"/>
    <mergeCell ref="B194:B195"/>
    <mergeCell ref="C194:F194"/>
    <mergeCell ref="H194:I194"/>
    <mergeCell ref="K194:K195"/>
    <mergeCell ref="A189:B189"/>
    <mergeCell ref="B211:I211"/>
    <mergeCell ref="K211:L212"/>
    <mergeCell ref="B212:I212"/>
    <mergeCell ref="A213:A214"/>
    <mergeCell ref="B213:B214"/>
    <mergeCell ref="C213:F213"/>
    <mergeCell ref="H213:I213"/>
    <mergeCell ref="K213:K214"/>
    <mergeCell ref="A208:B208"/>
  </mergeCells>
  <phoneticPr fontId="0" type="noConversion"/>
  <pageMargins left="0.31496062992125984" right="0" top="0.43307086614173229" bottom="0" header="0.51181102362204722" footer="0.51181102362204722"/>
  <pageSetup paperSize="9" orientation="portrait" horizontalDpi="180" verticalDpi="18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C2DF4-A642-480E-B111-30D6615F72E5}">
  <dimension ref="A1:L175"/>
  <sheetViews>
    <sheetView topLeftCell="A100" workbookViewId="0">
      <selection activeCell="L108" sqref="L108"/>
    </sheetView>
  </sheetViews>
  <sheetFormatPr defaultColWidth="9.42578125" defaultRowHeight="12.75" x14ac:dyDescent="0.2"/>
  <cols>
    <col min="1" max="1" width="9" customWidth="1"/>
    <col min="2" max="2" width="8" style="123" customWidth="1"/>
    <col min="3" max="3" width="8" customWidth="1"/>
    <col min="4" max="4" width="8.5703125" customWidth="1"/>
    <col min="5" max="5" width="9.42578125" customWidth="1"/>
    <col min="6" max="6" width="9.5703125" customWidth="1"/>
    <col min="7" max="7" width="12.5703125" customWidth="1"/>
    <col min="8" max="8" width="7.140625" customWidth="1"/>
    <col min="9" max="9" width="8.140625" customWidth="1"/>
    <col min="10" max="10" width="9.42578125" style="123" customWidth="1"/>
    <col min="11" max="11" width="7" customWidth="1"/>
    <col min="12" max="12" width="14.140625" customWidth="1"/>
  </cols>
  <sheetData>
    <row r="1" spans="1:12" ht="18" x14ac:dyDescent="0.25">
      <c r="A1" s="788" t="s">
        <v>232</v>
      </c>
      <c r="B1" s="788"/>
      <c r="C1" s="788"/>
      <c r="D1" s="788"/>
      <c r="E1" s="788"/>
      <c r="F1" s="788"/>
      <c r="G1" s="788"/>
      <c r="H1" s="788"/>
      <c r="I1" s="788"/>
      <c r="J1" s="788"/>
      <c r="K1" s="788"/>
    </row>
    <row r="2" spans="1:12" ht="26.25" x14ac:dyDescent="0.2">
      <c r="A2" s="794" t="str">
        <f>GDSL!A2</f>
        <v>TAHUN 2026</v>
      </c>
      <c r="B2" s="794"/>
      <c r="C2" s="794"/>
      <c r="D2" s="794"/>
      <c r="E2" s="794"/>
      <c r="F2" s="794"/>
      <c r="G2" s="794"/>
      <c r="H2" s="794"/>
      <c r="I2" s="794"/>
      <c r="J2" s="794"/>
      <c r="K2" s="794"/>
    </row>
    <row r="3" spans="1:12" ht="15" x14ac:dyDescent="0.25">
      <c r="A3" s="116" t="s">
        <v>0</v>
      </c>
      <c r="B3" s="832" t="s">
        <v>187</v>
      </c>
      <c r="C3" s="832"/>
      <c r="D3" s="832"/>
      <c r="E3" s="832"/>
      <c r="F3" s="832"/>
      <c r="G3" s="832"/>
      <c r="H3" s="832"/>
      <c r="I3" s="70" t="s">
        <v>11</v>
      </c>
      <c r="J3" s="739" t="s">
        <v>15</v>
      </c>
      <c r="K3" s="739"/>
      <c r="L3" s="708">
        <v>46077</v>
      </c>
    </row>
    <row r="4" spans="1:12" ht="14.25" x14ac:dyDescent="0.2">
      <c r="A4" s="116" t="s">
        <v>1</v>
      </c>
      <c r="B4" s="849" t="s">
        <v>234</v>
      </c>
      <c r="C4" s="849"/>
      <c r="D4" s="849"/>
      <c r="E4" s="849"/>
      <c r="F4" s="849"/>
      <c r="G4" s="849"/>
      <c r="H4" s="849"/>
      <c r="I4" s="69">
        <v>400</v>
      </c>
      <c r="J4" s="739"/>
      <c r="K4" s="739"/>
    </row>
    <row r="5" spans="1:12" x14ac:dyDescent="0.2">
      <c r="A5" s="726" t="s">
        <v>3</v>
      </c>
      <c r="B5" s="845" t="s">
        <v>126</v>
      </c>
      <c r="C5" s="731" t="s">
        <v>19</v>
      </c>
      <c r="D5" s="837"/>
      <c r="E5" s="732"/>
      <c r="F5" s="807" t="s">
        <v>24</v>
      </c>
      <c r="G5" s="846"/>
      <c r="H5" s="847"/>
      <c r="I5" s="81" t="s">
        <v>12</v>
      </c>
      <c r="J5" s="726" t="s">
        <v>3</v>
      </c>
      <c r="K5" s="117" t="s">
        <v>13</v>
      </c>
    </row>
    <row r="6" spans="1:12" x14ac:dyDescent="0.2">
      <c r="A6" s="726"/>
      <c r="B6" s="845"/>
      <c r="C6" s="4" t="s">
        <v>27</v>
      </c>
      <c r="D6" s="4" t="s">
        <v>30</v>
      </c>
      <c r="E6" s="43" t="s">
        <v>128</v>
      </c>
      <c r="F6" s="216" t="s">
        <v>29</v>
      </c>
      <c r="G6" s="80" t="s">
        <v>8</v>
      </c>
      <c r="H6" s="67" t="s">
        <v>23</v>
      </c>
      <c r="I6" s="67" t="s">
        <v>23</v>
      </c>
      <c r="J6" s="726"/>
      <c r="K6" s="117" t="s">
        <v>14</v>
      </c>
    </row>
    <row r="7" spans="1:12" x14ac:dyDescent="0.2">
      <c r="A7" s="676" t="s">
        <v>182</v>
      </c>
      <c r="B7" s="677">
        <v>45931</v>
      </c>
      <c r="C7" s="686">
        <v>985680</v>
      </c>
      <c r="D7" s="686">
        <v>1287600</v>
      </c>
      <c r="E7" s="594"/>
      <c r="F7" s="223">
        <v>0.97</v>
      </c>
      <c r="G7" s="256"/>
      <c r="H7" s="256"/>
      <c r="I7" s="257"/>
      <c r="J7" s="122"/>
      <c r="K7" s="4"/>
    </row>
    <row r="8" spans="1:12" x14ac:dyDescent="0.2">
      <c r="A8" s="431"/>
      <c r="B8" s="435"/>
      <c r="C8" s="6"/>
      <c r="D8" s="6"/>
      <c r="E8" s="6"/>
      <c r="F8" s="397">
        <f>(C8*5+D8*20+E8*12)</f>
        <v>0</v>
      </c>
      <c r="G8" s="284">
        <f>(C8*C$7+D8*D$7+E8*E$7)*F$7</f>
        <v>0</v>
      </c>
      <c r="H8" s="8">
        <f>C8+D8+E8</f>
        <v>0</v>
      </c>
      <c r="I8" s="9">
        <f>I4-H8</f>
        <v>400</v>
      </c>
      <c r="J8" s="122"/>
      <c r="K8" s="10">
        <f>J8-A8</f>
        <v>0</v>
      </c>
    </row>
    <row r="9" spans="1:12" x14ac:dyDescent="0.2">
      <c r="A9" s="431"/>
      <c r="B9" s="432"/>
      <c r="C9" s="6"/>
      <c r="D9" s="6"/>
      <c r="E9" s="6"/>
      <c r="F9" s="397">
        <f>(C9*5+D9*20+E9*12)</f>
        <v>0</v>
      </c>
      <c r="G9" s="284">
        <f>(C9*C$7+D9*D$7+E9*E$7)*F$7</f>
        <v>0</v>
      </c>
      <c r="H9" s="8">
        <f>C9+D9+E9</f>
        <v>0</v>
      </c>
      <c r="I9" s="589">
        <f>I8-H9</f>
        <v>400</v>
      </c>
      <c r="J9" s="122"/>
      <c r="K9" s="10">
        <f>J9-A9</f>
        <v>0</v>
      </c>
    </row>
    <row r="10" spans="1:12" x14ac:dyDescent="0.2">
      <c r="A10" s="470"/>
      <c r="B10" s="653"/>
      <c r="C10" s="283"/>
      <c r="D10" s="283"/>
      <c r="E10" s="283"/>
      <c r="F10" s="397">
        <f>(C10*5+D10*20+E10*12)</f>
        <v>0</v>
      </c>
      <c r="G10" s="284">
        <f>(C10*C$7+D10*D$7+E10*E$7)*F$7</f>
        <v>0</v>
      </c>
      <c r="H10" s="8">
        <f>C10+D10+E10</f>
        <v>0</v>
      </c>
      <c r="I10" s="589">
        <f>I9-H10</f>
        <v>400</v>
      </c>
      <c r="J10" s="122"/>
      <c r="K10" s="10">
        <f>J10-A10</f>
        <v>0</v>
      </c>
    </row>
    <row r="11" spans="1:12" x14ac:dyDescent="0.2">
      <c r="A11" s="731" t="s">
        <v>18</v>
      </c>
      <c r="B11" s="732"/>
      <c r="C11" s="272">
        <f t="shared" ref="C11:H11" si="0">SUM(C8:C10)</f>
        <v>0</v>
      </c>
      <c r="D11" s="273">
        <f t="shared" si="0"/>
        <v>0</v>
      </c>
      <c r="E11" s="273">
        <f t="shared" si="0"/>
        <v>0</v>
      </c>
      <c r="F11" s="218">
        <f t="shared" si="0"/>
        <v>0</v>
      </c>
      <c r="G11" s="79">
        <f t="shared" si="0"/>
        <v>0</v>
      </c>
      <c r="H11" s="50">
        <f t="shared" si="0"/>
        <v>0</v>
      </c>
      <c r="I11" s="63">
        <f>I4-H11</f>
        <v>400</v>
      </c>
      <c r="J11" s="121"/>
      <c r="K11" s="4"/>
    </row>
    <row r="12" spans="1:12" x14ac:dyDescent="0.2">
      <c r="A12" s="4"/>
      <c r="B12" s="121"/>
      <c r="C12" s="7"/>
      <c r="D12" s="8"/>
      <c r="E12" s="8"/>
      <c r="F12" s="14"/>
      <c r="G12" s="56" t="s">
        <v>46</v>
      </c>
      <c r="H12" s="62">
        <f>H11/I4%</f>
        <v>0</v>
      </c>
      <c r="I12" s="55">
        <f>I11/I4%</f>
        <v>100</v>
      </c>
      <c r="J12" s="121"/>
      <c r="K12" s="4"/>
    </row>
    <row r="13" spans="1:12" ht="26.25" x14ac:dyDescent="0.2">
      <c r="A13" s="570"/>
      <c r="B13" s="570"/>
      <c r="C13" s="570"/>
      <c r="D13" s="570"/>
      <c r="E13" s="570"/>
      <c r="F13" s="570"/>
      <c r="G13" s="570"/>
      <c r="H13" s="570"/>
      <c r="I13" s="570"/>
      <c r="J13" s="570"/>
      <c r="K13" s="570"/>
    </row>
    <row r="14" spans="1:12" ht="15" x14ac:dyDescent="0.25">
      <c r="A14" s="116" t="s">
        <v>0</v>
      </c>
      <c r="B14" s="832" t="s">
        <v>187</v>
      </c>
      <c r="C14" s="832"/>
      <c r="D14" s="832"/>
      <c r="E14" s="832"/>
      <c r="F14" s="832"/>
      <c r="G14" s="832"/>
      <c r="H14" s="832"/>
      <c r="I14" s="70" t="s">
        <v>11</v>
      </c>
      <c r="J14" s="739" t="s">
        <v>15</v>
      </c>
      <c r="K14" s="739"/>
      <c r="L14" s="708">
        <v>46072</v>
      </c>
    </row>
    <row r="15" spans="1:12" ht="14.25" x14ac:dyDescent="0.2">
      <c r="A15" s="116" t="s">
        <v>1</v>
      </c>
      <c r="B15" s="849" t="s">
        <v>194</v>
      </c>
      <c r="C15" s="849"/>
      <c r="D15" s="849"/>
      <c r="E15" s="849"/>
      <c r="F15" s="849"/>
      <c r="G15" s="849"/>
      <c r="H15" s="849"/>
      <c r="I15" s="69">
        <v>600</v>
      </c>
      <c r="J15" s="739"/>
      <c r="K15" s="739"/>
    </row>
    <row r="16" spans="1:12" x14ac:dyDescent="0.2">
      <c r="A16" s="726" t="s">
        <v>3</v>
      </c>
      <c r="B16" s="845" t="s">
        <v>126</v>
      </c>
      <c r="C16" s="731" t="s">
        <v>19</v>
      </c>
      <c r="D16" s="837"/>
      <c r="E16" s="732"/>
      <c r="F16" s="807" t="s">
        <v>24</v>
      </c>
      <c r="G16" s="846"/>
      <c r="H16" s="847"/>
      <c r="I16" s="81" t="s">
        <v>12</v>
      </c>
      <c r="J16" s="726" t="s">
        <v>3</v>
      </c>
      <c r="K16" s="117" t="s">
        <v>13</v>
      </c>
    </row>
    <row r="17" spans="1:11" x14ac:dyDescent="0.2">
      <c r="A17" s="726"/>
      <c r="B17" s="845"/>
      <c r="C17" s="4" t="s">
        <v>27</v>
      </c>
      <c r="D17" s="4" t="s">
        <v>30</v>
      </c>
      <c r="E17" s="43" t="s">
        <v>128</v>
      </c>
      <c r="F17" s="216" t="s">
        <v>29</v>
      </c>
      <c r="G17" s="80" t="s">
        <v>8</v>
      </c>
      <c r="H17" s="67" t="s">
        <v>23</v>
      </c>
      <c r="I17" s="67" t="s">
        <v>23</v>
      </c>
      <c r="J17" s="726"/>
      <c r="K17" s="117" t="s">
        <v>14</v>
      </c>
    </row>
    <row r="18" spans="1:11" x14ac:dyDescent="0.2">
      <c r="A18" s="676" t="s">
        <v>182</v>
      </c>
      <c r="B18" s="677">
        <v>45931</v>
      </c>
      <c r="C18" s="686">
        <v>985680</v>
      </c>
      <c r="D18" s="686">
        <v>1287600</v>
      </c>
      <c r="E18" s="594"/>
      <c r="F18" s="223">
        <v>0.97</v>
      </c>
      <c r="G18" s="256"/>
      <c r="H18" s="256"/>
      <c r="I18" s="257"/>
      <c r="J18" s="122"/>
      <c r="K18" s="4"/>
    </row>
    <row r="19" spans="1:11" x14ac:dyDescent="0.2">
      <c r="A19" s="431">
        <v>46044</v>
      </c>
      <c r="B19" s="112">
        <v>24327</v>
      </c>
      <c r="C19" s="6">
        <v>50</v>
      </c>
      <c r="D19" s="6">
        <v>0</v>
      </c>
      <c r="E19" s="6">
        <v>0</v>
      </c>
      <c r="F19" s="610">
        <f>(C19*5+D19*20+E19*12)</f>
        <v>250</v>
      </c>
      <c r="G19" s="8">
        <f>(C19*C$18+D19*D$18+E19*E$18)*F$18</f>
        <v>47805480</v>
      </c>
      <c r="H19" s="8">
        <f t="shared" ref="H19:H25" si="1">C19+D19+E19</f>
        <v>50</v>
      </c>
      <c r="I19" s="9">
        <f>I15-H19</f>
        <v>550</v>
      </c>
      <c r="J19" s="122">
        <f>'[1]Area 2'!$D$12</f>
        <v>0</v>
      </c>
      <c r="K19" s="10">
        <f t="shared" ref="K19:K25" si="2">J19-A19</f>
        <v>-46044</v>
      </c>
    </row>
    <row r="20" spans="1:11" x14ac:dyDescent="0.2">
      <c r="A20" s="431"/>
      <c r="B20" s="112"/>
      <c r="C20" s="6"/>
      <c r="D20" s="6"/>
      <c r="E20" s="6"/>
      <c r="F20" s="610">
        <f t="shared" ref="F20:F29" si="3">(C20*5+D20*20+E20*12)</f>
        <v>0</v>
      </c>
      <c r="G20" s="8">
        <f t="shared" ref="G20:G29" si="4">(C20*C$18+D20*D$18+E20*E$18)*F$18</f>
        <v>0</v>
      </c>
      <c r="H20" s="8">
        <f t="shared" si="1"/>
        <v>0</v>
      </c>
      <c r="I20" s="9">
        <f t="shared" ref="I20:I25" si="5">I19-H20</f>
        <v>550</v>
      </c>
      <c r="J20" s="122"/>
      <c r="K20" s="10">
        <f t="shared" si="2"/>
        <v>0</v>
      </c>
    </row>
    <row r="21" spans="1:11" x14ac:dyDescent="0.2">
      <c r="A21" s="604"/>
      <c r="B21" s="653"/>
      <c r="C21" s="6"/>
      <c r="D21" s="6"/>
      <c r="E21" s="6"/>
      <c r="F21" s="610">
        <f t="shared" si="3"/>
        <v>0</v>
      </c>
      <c r="G21" s="8">
        <f t="shared" si="4"/>
        <v>0</v>
      </c>
      <c r="H21" s="284">
        <f t="shared" si="1"/>
        <v>0</v>
      </c>
      <c r="I21" s="614">
        <f t="shared" si="5"/>
        <v>550</v>
      </c>
      <c r="J21" s="122"/>
      <c r="K21" s="10">
        <f t="shared" si="2"/>
        <v>0</v>
      </c>
    </row>
    <row r="22" spans="1:11" x14ac:dyDescent="0.2">
      <c r="A22" s="431"/>
      <c r="B22" s="112"/>
      <c r="C22" s="6"/>
      <c r="D22" s="6"/>
      <c r="E22" s="6"/>
      <c r="F22" s="610">
        <f t="shared" si="3"/>
        <v>0</v>
      </c>
      <c r="G22" s="8">
        <f t="shared" si="4"/>
        <v>0</v>
      </c>
      <c r="H22" s="8">
        <f t="shared" si="1"/>
        <v>0</v>
      </c>
      <c r="I22" s="13">
        <f t="shared" si="5"/>
        <v>550</v>
      </c>
      <c r="J22" s="122"/>
      <c r="K22" s="10">
        <f t="shared" si="2"/>
        <v>0</v>
      </c>
    </row>
    <row r="23" spans="1:11" x14ac:dyDescent="0.2">
      <c r="A23" s="470"/>
      <c r="B23" s="472"/>
      <c r="C23" s="283"/>
      <c r="D23" s="283"/>
      <c r="E23" s="283"/>
      <c r="F23" s="610">
        <f t="shared" si="3"/>
        <v>0</v>
      </c>
      <c r="G23" s="8">
        <f t="shared" si="4"/>
        <v>0</v>
      </c>
      <c r="H23" s="8">
        <f t="shared" si="1"/>
        <v>0</v>
      </c>
      <c r="I23" s="13">
        <f t="shared" si="5"/>
        <v>550</v>
      </c>
      <c r="J23" s="122"/>
      <c r="K23" s="10">
        <f t="shared" si="2"/>
        <v>0</v>
      </c>
    </row>
    <row r="24" spans="1:11" x14ac:dyDescent="0.2">
      <c r="A24" s="431"/>
      <c r="B24" s="112"/>
      <c r="C24" s="6"/>
      <c r="D24" s="6"/>
      <c r="E24" s="6"/>
      <c r="F24" s="610">
        <f t="shared" si="3"/>
        <v>0</v>
      </c>
      <c r="G24" s="8">
        <f t="shared" si="4"/>
        <v>0</v>
      </c>
      <c r="H24" s="8">
        <f t="shared" si="1"/>
        <v>0</v>
      </c>
      <c r="I24" s="13">
        <f t="shared" si="5"/>
        <v>550</v>
      </c>
      <c r="J24" s="122"/>
      <c r="K24" s="10">
        <f t="shared" si="2"/>
        <v>0</v>
      </c>
    </row>
    <row r="25" spans="1:11" x14ac:dyDescent="0.2">
      <c r="A25" s="431"/>
      <c r="B25" s="112"/>
      <c r="C25" s="6"/>
      <c r="D25" s="6"/>
      <c r="E25" s="6"/>
      <c r="F25" s="610">
        <f t="shared" si="3"/>
        <v>0</v>
      </c>
      <c r="G25" s="8">
        <f t="shared" si="4"/>
        <v>0</v>
      </c>
      <c r="H25" s="8">
        <f t="shared" si="1"/>
        <v>0</v>
      </c>
      <c r="I25" s="13">
        <f t="shared" si="5"/>
        <v>550</v>
      </c>
      <c r="J25" s="122"/>
      <c r="K25" s="10">
        <f t="shared" si="2"/>
        <v>0</v>
      </c>
    </row>
    <row r="26" spans="1:11" x14ac:dyDescent="0.2">
      <c r="A26" s="431"/>
      <c r="B26" s="112"/>
      <c r="C26" s="6"/>
      <c r="D26" s="6"/>
      <c r="E26" s="6"/>
      <c r="F26" s="610">
        <f t="shared" si="3"/>
        <v>0</v>
      </c>
      <c r="G26" s="8">
        <f t="shared" si="4"/>
        <v>0</v>
      </c>
      <c r="H26" s="8">
        <f>C26+D26+E26</f>
        <v>0</v>
      </c>
      <c r="I26" s="13">
        <f>I25-H26</f>
        <v>550</v>
      </c>
      <c r="J26" s="122"/>
      <c r="K26" s="10">
        <f>J26-A26</f>
        <v>0</v>
      </c>
    </row>
    <row r="27" spans="1:11" x14ac:dyDescent="0.2">
      <c r="A27" s="431"/>
      <c r="B27" s="112"/>
      <c r="C27" s="6"/>
      <c r="D27" s="6"/>
      <c r="E27" s="6"/>
      <c r="F27" s="610">
        <f t="shared" si="3"/>
        <v>0</v>
      </c>
      <c r="G27" s="8">
        <f t="shared" si="4"/>
        <v>0</v>
      </c>
      <c r="H27" s="8">
        <f>C27+D27+E27</f>
        <v>0</v>
      </c>
      <c r="I27" s="13">
        <f>I26-H27</f>
        <v>550</v>
      </c>
      <c r="J27" s="122"/>
      <c r="K27" s="10">
        <f>J27-A27</f>
        <v>0</v>
      </c>
    </row>
    <row r="28" spans="1:11" x14ac:dyDescent="0.2">
      <c r="A28" s="431"/>
      <c r="B28" s="112"/>
      <c r="C28" s="6"/>
      <c r="D28" s="6"/>
      <c r="E28" s="6"/>
      <c r="F28" s="610">
        <f t="shared" si="3"/>
        <v>0</v>
      </c>
      <c r="G28" s="8">
        <f t="shared" si="4"/>
        <v>0</v>
      </c>
      <c r="H28" s="8">
        <f>C28+D28+E28</f>
        <v>0</v>
      </c>
      <c r="I28" s="13">
        <f>I27-H28</f>
        <v>550</v>
      </c>
      <c r="J28" s="122"/>
      <c r="K28" s="10">
        <f>J28-A28</f>
        <v>0</v>
      </c>
    </row>
    <row r="29" spans="1:11" x14ac:dyDescent="0.2">
      <c r="A29" s="431"/>
      <c r="B29" s="112"/>
      <c r="C29" s="6"/>
      <c r="D29" s="6"/>
      <c r="E29" s="6"/>
      <c r="F29" s="610">
        <f t="shared" si="3"/>
        <v>0</v>
      </c>
      <c r="G29" s="8">
        <f t="shared" si="4"/>
        <v>0</v>
      </c>
      <c r="H29" s="8">
        <f>C29+D29+E29</f>
        <v>0</v>
      </c>
      <c r="I29" s="13">
        <f>I28-H29</f>
        <v>550</v>
      </c>
      <c r="J29" s="122"/>
      <c r="K29" s="10">
        <f>J29-A29</f>
        <v>0</v>
      </c>
    </row>
    <row r="30" spans="1:11" x14ac:dyDescent="0.2">
      <c r="A30" s="731" t="s">
        <v>18</v>
      </c>
      <c r="B30" s="732"/>
      <c r="C30" s="272">
        <f t="shared" ref="C30:H30" si="6">SUM(C19:C29)</f>
        <v>50</v>
      </c>
      <c r="D30" s="273">
        <f t="shared" si="6"/>
        <v>0</v>
      </c>
      <c r="E30" s="273">
        <f t="shared" si="6"/>
        <v>0</v>
      </c>
      <c r="F30" s="215">
        <f t="shared" si="6"/>
        <v>250</v>
      </c>
      <c r="G30" s="79">
        <f t="shared" si="6"/>
        <v>47805480</v>
      </c>
      <c r="H30" s="50">
        <f t="shared" si="6"/>
        <v>50</v>
      </c>
      <c r="I30" s="49">
        <f>I15-H30</f>
        <v>550</v>
      </c>
      <c r="J30" s="121"/>
      <c r="K30" s="4"/>
    </row>
    <row r="31" spans="1:11" x14ac:dyDescent="0.2">
      <c r="A31" s="4"/>
      <c r="B31" s="121"/>
      <c r="C31" s="7"/>
      <c r="D31" s="8"/>
      <c r="E31" s="8"/>
      <c r="F31" s="14"/>
      <c r="G31" s="56" t="s">
        <v>46</v>
      </c>
      <c r="H31" s="62">
        <f>H30/I15%</f>
        <v>8.3333333333333339</v>
      </c>
      <c r="I31" s="55">
        <f>I30/I15%</f>
        <v>91.666666666666671</v>
      </c>
      <c r="J31" s="121"/>
      <c r="K31" s="4"/>
    </row>
    <row r="33" spans="1:12" x14ac:dyDescent="0.2">
      <c r="A33" s="16"/>
      <c r="B33" s="125"/>
      <c r="C33" s="17"/>
      <c r="D33" s="18"/>
      <c r="E33" s="18"/>
      <c r="F33" s="23"/>
      <c r="G33" s="18"/>
      <c r="H33" s="20"/>
      <c r="I33" s="19"/>
      <c r="J33" s="125"/>
      <c r="K33" s="16"/>
    </row>
    <row r="34" spans="1:12" ht="15" x14ac:dyDescent="0.25">
      <c r="A34" s="116" t="s">
        <v>0</v>
      </c>
      <c r="B34" s="832" t="s">
        <v>187</v>
      </c>
      <c r="C34" s="832"/>
      <c r="D34" s="832"/>
      <c r="E34" s="832"/>
      <c r="F34" s="832"/>
      <c r="G34" s="832"/>
      <c r="H34" s="832"/>
      <c r="I34" s="70" t="s">
        <v>11</v>
      </c>
      <c r="J34" s="739" t="s">
        <v>15</v>
      </c>
      <c r="K34" s="739"/>
      <c r="L34" s="705">
        <v>46062</v>
      </c>
    </row>
    <row r="35" spans="1:12" ht="14.25" x14ac:dyDescent="0.2">
      <c r="A35" s="116" t="s">
        <v>1</v>
      </c>
      <c r="B35" s="849" t="s">
        <v>135</v>
      </c>
      <c r="C35" s="849"/>
      <c r="D35" s="849"/>
      <c r="E35" s="849"/>
      <c r="F35" s="849"/>
      <c r="G35" s="849"/>
      <c r="H35" s="849"/>
      <c r="I35" s="69">
        <v>1200</v>
      </c>
      <c r="J35" s="739"/>
      <c r="K35" s="739"/>
    </row>
    <row r="36" spans="1:12" x14ac:dyDescent="0.2">
      <c r="A36" s="726" t="s">
        <v>3</v>
      </c>
      <c r="B36" s="845" t="s">
        <v>126</v>
      </c>
      <c r="C36" s="731" t="s">
        <v>19</v>
      </c>
      <c r="D36" s="837"/>
      <c r="E36" s="732"/>
      <c r="F36" s="807" t="s">
        <v>24</v>
      </c>
      <c r="G36" s="846"/>
      <c r="H36" s="847"/>
      <c r="I36" s="81" t="s">
        <v>12</v>
      </c>
      <c r="J36" s="726" t="s">
        <v>3</v>
      </c>
      <c r="K36" s="117" t="s">
        <v>13</v>
      </c>
    </row>
    <row r="37" spans="1:12" x14ac:dyDescent="0.2">
      <c r="A37" s="726"/>
      <c r="B37" s="845"/>
      <c r="C37" s="4" t="s">
        <v>27</v>
      </c>
      <c r="D37" s="4" t="s">
        <v>30</v>
      </c>
      <c r="E37" s="43" t="s">
        <v>128</v>
      </c>
      <c r="F37" s="216" t="s">
        <v>29</v>
      </c>
      <c r="G37" s="80" t="s">
        <v>8</v>
      </c>
      <c r="H37" s="67" t="s">
        <v>23</v>
      </c>
      <c r="I37" s="67" t="s">
        <v>23</v>
      </c>
      <c r="J37" s="726"/>
      <c r="K37" s="117" t="s">
        <v>14</v>
      </c>
    </row>
    <row r="38" spans="1:12" x14ac:dyDescent="0.2">
      <c r="A38" s="676" t="s">
        <v>182</v>
      </c>
      <c r="B38" s="677">
        <v>45931</v>
      </c>
      <c r="C38" s="686">
        <v>985680</v>
      </c>
      <c r="D38" s="686">
        <v>1287600</v>
      </c>
      <c r="E38" s="678">
        <v>1518480</v>
      </c>
      <c r="F38" s="223">
        <v>0.97</v>
      </c>
      <c r="G38" s="256"/>
      <c r="H38" s="256"/>
      <c r="I38" s="257"/>
      <c r="J38" s="122"/>
      <c r="K38" s="4"/>
    </row>
    <row r="39" spans="1:12" x14ac:dyDescent="0.2">
      <c r="A39" s="431">
        <v>46034</v>
      </c>
      <c r="B39" s="435">
        <v>24278</v>
      </c>
      <c r="C39" s="6">
        <v>0</v>
      </c>
      <c r="D39" s="6">
        <v>0</v>
      </c>
      <c r="E39" s="6">
        <v>10</v>
      </c>
      <c r="F39" s="8">
        <f>(C39*5+D39*20+E39*12)</f>
        <v>120</v>
      </c>
      <c r="G39" s="8">
        <f>(C39*C$38+D39*D$38+E39*E$38)*F$38</f>
        <v>14729256</v>
      </c>
      <c r="H39" s="8">
        <f t="shared" ref="H39:H60" si="7">C39+D39+E39</f>
        <v>10</v>
      </c>
      <c r="I39" s="9">
        <f>I35-H39</f>
        <v>1190</v>
      </c>
      <c r="J39" s="122">
        <f>'[1]Area 3'!$D$12</f>
        <v>46063</v>
      </c>
      <c r="K39" s="10">
        <f t="shared" ref="K39:K60" si="8">J39-A39</f>
        <v>29</v>
      </c>
    </row>
    <row r="40" spans="1:12" x14ac:dyDescent="0.2">
      <c r="A40" s="431">
        <v>46055</v>
      </c>
      <c r="B40" s="435">
        <v>24282</v>
      </c>
      <c r="C40" s="6">
        <v>0</v>
      </c>
      <c r="D40" s="6">
        <v>100</v>
      </c>
      <c r="E40" s="6">
        <v>25</v>
      </c>
      <c r="F40" s="8">
        <f t="shared" ref="F40:F60" si="9">(C40*5+D40*20+E40*12)</f>
        <v>2300</v>
      </c>
      <c r="G40" s="8">
        <f t="shared" ref="G40:G60" si="10">(C40*C$38+D40*D$38+E40*E$38)*F$38</f>
        <v>161720340</v>
      </c>
      <c r="H40" s="8">
        <f t="shared" si="7"/>
        <v>125</v>
      </c>
      <c r="I40" s="9">
        <f t="shared" ref="I40:I60" si="11">I39-H40</f>
        <v>1065</v>
      </c>
      <c r="J40" s="122">
        <f>'[1]Area 3'!$D$15</f>
        <v>46084</v>
      </c>
      <c r="K40" s="10">
        <f t="shared" si="8"/>
        <v>29</v>
      </c>
    </row>
    <row r="41" spans="1:12" x14ac:dyDescent="0.2">
      <c r="A41" s="431"/>
      <c r="B41" s="435"/>
      <c r="C41" s="6"/>
      <c r="D41" s="6"/>
      <c r="E41" s="6"/>
      <c r="F41" s="8">
        <f t="shared" si="9"/>
        <v>0</v>
      </c>
      <c r="G41" s="8">
        <f t="shared" si="10"/>
        <v>0</v>
      </c>
      <c r="H41" s="8">
        <f t="shared" si="7"/>
        <v>0</v>
      </c>
      <c r="I41" s="9">
        <f t="shared" si="11"/>
        <v>1065</v>
      </c>
      <c r="J41" s="122"/>
      <c r="K41" s="10">
        <f t="shared" si="8"/>
        <v>0</v>
      </c>
    </row>
    <row r="42" spans="1:12" x14ac:dyDescent="0.2">
      <c r="A42" s="431"/>
      <c r="B42" s="435"/>
      <c r="C42" s="6"/>
      <c r="D42" s="6"/>
      <c r="E42" s="6"/>
      <c r="F42" s="8">
        <f t="shared" si="9"/>
        <v>0</v>
      </c>
      <c r="G42" s="8">
        <f t="shared" si="10"/>
        <v>0</v>
      </c>
      <c r="H42" s="8">
        <f t="shared" si="7"/>
        <v>0</v>
      </c>
      <c r="I42" s="9">
        <f t="shared" si="11"/>
        <v>1065</v>
      </c>
      <c r="J42" s="122"/>
      <c r="K42" s="10">
        <f t="shared" si="8"/>
        <v>0</v>
      </c>
    </row>
    <row r="43" spans="1:12" x14ac:dyDescent="0.2">
      <c r="A43" s="431"/>
      <c r="B43" s="435"/>
      <c r="C43" s="6"/>
      <c r="D43" s="6"/>
      <c r="E43" s="6"/>
      <c r="F43" s="8">
        <f t="shared" si="9"/>
        <v>0</v>
      </c>
      <c r="G43" s="8">
        <f t="shared" si="10"/>
        <v>0</v>
      </c>
      <c r="H43" s="8">
        <f t="shared" si="7"/>
        <v>0</v>
      </c>
      <c r="I43" s="9">
        <f t="shared" si="11"/>
        <v>1065</v>
      </c>
      <c r="J43" s="122"/>
      <c r="K43" s="10">
        <f t="shared" si="8"/>
        <v>0</v>
      </c>
    </row>
    <row r="44" spans="1:12" x14ac:dyDescent="0.2">
      <c r="A44" s="431"/>
      <c r="B44" s="112"/>
      <c r="C44" s="6"/>
      <c r="D44" s="6"/>
      <c r="E44" s="6"/>
      <c r="F44" s="8">
        <f t="shared" si="9"/>
        <v>0</v>
      </c>
      <c r="G44" s="8">
        <f t="shared" si="10"/>
        <v>0</v>
      </c>
      <c r="H44" s="8">
        <f t="shared" si="7"/>
        <v>0</v>
      </c>
      <c r="I44" s="9">
        <f t="shared" si="11"/>
        <v>1065</v>
      </c>
      <c r="J44" s="122"/>
      <c r="K44" s="10">
        <f t="shared" si="8"/>
        <v>0</v>
      </c>
    </row>
    <row r="45" spans="1:12" x14ac:dyDescent="0.2">
      <c r="A45" s="431"/>
      <c r="B45" s="435"/>
      <c r="C45" s="6"/>
      <c r="D45" s="6"/>
      <c r="E45" s="6"/>
      <c r="F45" s="8">
        <f t="shared" si="9"/>
        <v>0</v>
      </c>
      <c r="G45" s="8">
        <f t="shared" si="10"/>
        <v>0</v>
      </c>
      <c r="H45" s="8">
        <f t="shared" si="7"/>
        <v>0</v>
      </c>
      <c r="I45" s="9">
        <f t="shared" si="11"/>
        <v>1065</v>
      </c>
      <c r="J45" s="122"/>
      <c r="K45" s="10">
        <f t="shared" si="8"/>
        <v>0</v>
      </c>
    </row>
    <row r="46" spans="1:12" x14ac:dyDescent="0.2">
      <c r="A46" s="431"/>
      <c r="B46" s="435"/>
      <c r="C46" s="6"/>
      <c r="D46" s="6"/>
      <c r="E46" s="6"/>
      <c r="F46" s="8">
        <f t="shared" si="9"/>
        <v>0</v>
      </c>
      <c r="G46" s="8">
        <f t="shared" si="10"/>
        <v>0</v>
      </c>
      <c r="H46" s="8">
        <f t="shared" si="7"/>
        <v>0</v>
      </c>
      <c r="I46" s="9">
        <f t="shared" si="11"/>
        <v>1065</v>
      </c>
      <c r="J46" s="122"/>
      <c r="K46" s="10">
        <f t="shared" si="8"/>
        <v>0</v>
      </c>
    </row>
    <row r="47" spans="1:12" x14ac:dyDescent="0.2">
      <c r="A47" s="431"/>
      <c r="B47" s="435"/>
      <c r="C47" s="6"/>
      <c r="D47" s="6"/>
      <c r="E47" s="6"/>
      <c r="F47" s="8">
        <f t="shared" si="9"/>
        <v>0</v>
      </c>
      <c r="G47" s="8">
        <f t="shared" si="10"/>
        <v>0</v>
      </c>
      <c r="H47" s="8">
        <f t="shared" si="7"/>
        <v>0</v>
      </c>
      <c r="I47" s="9">
        <f t="shared" si="11"/>
        <v>1065</v>
      </c>
      <c r="J47" s="122"/>
      <c r="K47" s="10">
        <f t="shared" si="8"/>
        <v>0</v>
      </c>
    </row>
    <row r="48" spans="1:12" x14ac:dyDescent="0.2">
      <c r="A48" s="431"/>
      <c r="B48" s="435"/>
      <c r="C48" s="6"/>
      <c r="D48" s="6"/>
      <c r="E48" s="6"/>
      <c r="F48" s="8">
        <f t="shared" si="9"/>
        <v>0</v>
      </c>
      <c r="G48" s="8">
        <f t="shared" si="10"/>
        <v>0</v>
      </c>
      <c r="H48" s="8">
        <f t="shared" si="7"/>
        <v>0</v>
      </c>
      <c r="I48" s="9">
        <f t="shared" si="11"/>
        <v>1065</v>
      </c>
      <c r="J48" s="122"/>
      <c r="K48" s="10">
        <f t="shared" si="8"/>
        <v>0</v>
      </c>
    </row>
    <row r="49" spans="1:11" x14ac:dyDescent="0.2">
      <c r="A49" s="431"/>
      <c r="B49" s="435"/>
      <c r="C49" s="6"/>
      <c r="D49" s="6"/>
      <c r="E49" s="6"/>
      <c r="F49" s="8">
        <f t="shared" si="9"/>
        <v>0</v>
      </c>
      <c r="G49" s="8">
        <f t="shared" si="10"/>
        <v>0</v>
      </c>
      <c r="H49" s="8">
        <f t="shared" si="7"/>
        <v>0</v>
      </c>
      <c r="I49" s="9">
        <f t="shared" si="11"/>
        <v>1065</v>
      </c>
      <c r="J49" s="122"/>
      <c r="K49" s="10">
        <f t="shared" si="8"/>
        <v>0</v>
      </c>
    </row>
    <row r="50" spans="1:11" x14ac:dyDescent="0.2">
      <c r="A50" s="470"/>
      <c r="B50" s="472"/>
      <c r="C50" s="6"/>
      <c r="D50" s="6"/>
      <c r="E50" s="6"/>
      <c r="F50" s="8">
        <f t="shared" si="9"/>
        <v>0</v>
      </c>
      <c r="G50" s="8">
        <f t="shared" si="10"/>
        <v>0</v>
      </c>
      <c r="H50" s="8">
        <f t="shared" si="7"/>
        <v>0</v>
      </c>
      <c r="I50" s="9">
        <f t="shared" si="11"/>
        <v>1065</v>
      </c>
      <c r="J50" s="122"/>
      <c r="K50" s="10">
        <f t="shared" si="8"/>
        <v>0</v>
      </c>
    </row>
    <row r="51" spans="1:11" x14ac:dyDescent="0.2">
      <c r="A51" s="470"/>
      <c r="B51" s="472"/>
      <c r="C51" s="6"/>
      <c r="D51" s="6"/>
      <c r="E51" s="6"/>
      <c r="F51" s="8">
        <f t="shared" si="9"/>
        <v>0</v>
      </c>
      <c r="G51" s="8">
        <f t="shared" si="10"/>
        <v>0</v>
      </c>
      <c r="H51" s="8">
        <f t="shared" si="7"/>
        <v>0</v>
      </c>
      <c r="I51" s="9">
        <f t="shared" si="11"/>
        <v>1065</v>
      </c>
      <c r="J51" s="122"/>
      <c r="K51" s="10">
        <f t="shared" si="8"/>
        <v>0</v>
      </c>
    </row>
    <row r="52" spans="1:11" x14ac:dyDescent="0.2">
      <c r="A52" s="470"/>
      <c r="B52" s="472"/>
      <c r="C52" s="6"/>
      <c r="D52" s="6"/>
      <c r="E52" s="6"/>
      <c r="F52" s="8">
        <f t="shared" si="9"/>
        <v>0</v>
      </c>
      <c r="G52" s="8">
        <f t="shared" si="10"/>
        <v>0</v>
      </c>
      <c r="H52" s="8">
        <f t="shared" si="7"/>
        <v>0</v>
      </c>
      <c r="I52" s="9">
        <f t="shared" si="11"/>
        <v>1065</v>
      </c>
      <c r="J52" s="122"/>
      <c r="K52" s="10">
        <f t="shared" si="8"/>
        <v>0</v>
      </c>
    </row>
    <row r="53" spans="1:11" x14ac:dyDescent="0.2">
      <c r="A53" s="470"/>
      <c r="B53" s="472"/>
      <c r="C53" s="6"/>
      <c r="D53" s="6"/>
      <c r="E53" s="6"/>
      <c r="F53" s="8">
        <f t="shared" si="9"/>
        <v>0</v>
      </c>
      <c r="G53" s="8">
        <f t="shared" si="10"/>
        <v>0</v>
      </c>
      <c r="H53" s="8">
        <f t="shared" si="7"/>
        <v>0</v>
      </c>
      <c r="I53" s="9">
        <f t="shared" si="11"/>
        <v>1065</v>
      </c>
      <c r="J53" s="122"/>
      <c r="K53" s="10">
        <f t="shared" si="8"/>
        <v>0</v>
      </c>
    </row>
    <row r="54" spans="1:11" x14ac:dyDescent="0.2">
      <c r="A54" s="470"/>
      <c r="B54" s="472"/>
      <c r="C54" s="6"/>
      <c r="D54" s="6"/>
      <c r="E54" s="6"/>
      <c r="F54" s="8">
        <f t="shared" si="9"/>
        <v>0</v>
      </c>
      <c r="G54" s="8">
        <f t="shared" si="10"/>
        <v>0</v>
      </c>
      <c r="H54" s="8">
        <f t="shared" si="7"/>
        <v>0</v>
      </c>
      <c r="I54" s="9">
        <f t="shared" si="11"/>
        <v>1065</v>
      </c>
      <c r="J54" s="122"/>
      <c r="K54" s="10">
        <f t="shared" si="8"/>
        <v>0</v>
      </c>
    </row>
    <row r="55" spans="1:11" x14ac:dyDescent="0.2">
      <c r="A55" s="470"/>
      <c r="B55" s="472"/>
      <c r="C55" s="6"/>
      <c r="D55" s="6"/>
      <c r="E55" s="6"/>
      <c r="F55" s="8">
        <f t="shared" si="9"/>
        <v>0</v>
      </c>
      <c r="G55" s="8">
        <f t="shared" si="10"/>
        <v>0</v>
      </c>
      <c r="H55" s="8">
        <f t="shared" si="7"/>
        <v>0</v>
      </c>
      <c r="I55" s="9">
        <f t="shared" si="11"/>
        <v>1065</v>
      </c>
      <c r="J55" s="122"/>
      <c r="K55" s="10">
        <f t="shared" si="8"/>
        <v>0</v>
      </c>
    </row>
    <row r="56" spans="1:11" x14ac:dyDescent="0.2">
      <c r="A56" s="470"/>
      <c r="B56" s="472"/>
      <c r="C56" s="6"/>
      <c r="D56" s="6"/>
      <c r="E56" s="6"/>
      <c r="F56" s="8">
        <f t="shared" si="9"/>
        <v>0</v>
      </c>
      <c r="G56" s="8">
        <f t="shared" si="10"/>
        <v>0</v>
      </c>
      <c r="H56" s="8">
        <f t="shared" si="7"/>
        <v>0</v>
      </c>
      <c r="I56" s="9">
        <f t="shared" si="11"/>
        <v>1065</v>
      </c>
      <c r="J56" s="122"/>
      <c r="K56" s="10">
        <f t="shared" si="8"/>
        <v>0</v>
      </c>
    </row>
    <row r="57" spans="1:11" x14ac:dyDescent="0.2">
      <c r="A57" s="470"/>
      <c r="B57" s="472"/>
      <c r="C57" s="6"/>
      <c r="D57" s="6"/>
      <c r="E57" s="6"/>
      <c r="F57" s="8">
        <f t="shared" si="9"/>
        <v>0</v>
      </c>
      <c r="G57" s="8">
        <f t="shared" si="10"/>
        <v>0</v>
      </c>
      <c r="H57" s="8">
        <f t="shared" si="7"/>
        <v>0</v>
      </c>
      <c r="I57" s="9">
        <f t="shared" si="11"/>
        <v>1065</v>
      </c>
      <c r="J57" s="122"/>
      <c r="K57" s="10">
        <f t="shared" si="8"/>
        <v>0</v>
      </c>
    </row>
    <row r="58" spans="1:11" x14ac:dyDescent="0.2">
      <c r="A58" s="470"/>
      <c r="B58" s="472"/>
      <c r="C58" s="6"/>
      <c r="D58" s="6"/>
      <c r="E58" s="6"/>
      <c r="F58" s="8">
        <f t="shared" si="9"/>
        <v>0</v>
      </c>
      <c r="G58" s="8">
        <f t="shared" si="10"/>
        <v>0</v>
      </c>
      <c r="H58" s="8">
        <f t="shared" si="7"/>
        <v>0</v>
      </c>
      <c r="I58" s="9">
        <f t="shared" si="11"/>
        <v>1065</v>
      </c>
      <c r="J58" s="122"/>
      <c r="K58" s="10">
        <f t="shared" si="8"/>
        <v>0</v>
      </c>
    </row>
    <row r="59" spans="1:11" x14ac:dyDescent="0.2">
      <c r="A59" s="470"/>
      <c r="B59" s="472"/>
      <c r="C59" s="6"/>
      <c r="D59" s="6"/>
      <c r="E59" s="6"/>
      <c r="F59" s="8">
        <f t="shared" si="9"/>
        <v>0</v>
      </c>
      <c r="G59" s="8">
        <f t="shared" si="10"/>
        <v>0</v>
      </c>
      <c r="H59" s="8">
        <f t="shared" si="7"/>
        <v>0</v>
      </c>
      <c r="I59" s="9">
        <f t="shared" si="11"/>
        <v>1065</v>
      </c>
      <c r="J59" s="122"/>
      <c r="K59" s="10">
        <f t="shared" si="8"/>
        <v>0</v>
      </c>
    </row>
    <row r="60" spans="1:11" x14ac:dyDescent="0.2">
      <c r="A60" s="470"/>
      <c r="B60" s="472"/>
      <c r="C60" s="6"/>
      <c r="D60" s="6"/>
      <c r="E60" s="6"/>
      <c r="F60" s="8">
        <f t="shared" si="9"/>
        <v>0</v>
      </c>
      <c r="G60" s="8">
        <f t="shared" si="10"/>
        <v>0</v>
      </c>
      <c r="H60" s="8">
        <f t="shared" si="7"/>
        <v>0</v>
      </c>
      <c r="I60" s="9">
        <f t="shared" si="11"/>
        <v>1065</v>
      </c>
      <c r="J60" s="122"/>
      <c r="K60" s="10">
        <f t="shared" si="8"/>
        <v>0</v>
      </c>
    </row>
    <row r="61" spans="1:11" x14ac:dyDescent="0.2">
      <c r="A61" s="731" t="s">
        <v>18</v>
      </c>
      <c r="B61" s="732"/>
      <c r="C61" s="272">
        <f t="shared" ref="C61:H61" si="12">SUM(C39:C60)</f>
        <v>0</v>
      </c>
      <c r="D61" s="273">
        <f t="shared" si="12"/>
        <v>100</v>
      </c>
      <c r="E61" s="273">
        <f t="shared" si="12"/>
        <v>35</v>
      </c>
      <c r="F61" s="215">
        <f t="shared" si="12"/>
        <v>2420</v>
      </c>
      <c r="G61" s="79">
        <f t="shared" si="12"/>
        <v>176449596</v>
      </c>
      <c r="H61" s="50">
        <f t="shared" si="12"/>
        <v>135</v>
      </c>
      <c r="I61" s="545">
        <f>I35-H61</f>
        <v>1065</v>
      </c>
      <c r="J61" s="121"/>
      <c r="K61" s="4"/>
    </row>
    <row r="62" spans="1:11" x14ac:dyDescent="0.2">
      <c r="A62" s="4"/>
      <c r="B62" s="121"/>
      <c r="C62" s="7"/>
      <c r="D62" s="8"/>
      <c r="E62" s="8"/>
      <c r="F62" s="14"/>
      <c r="G62" s="56" t="s">
        <v>46</v>
      </c>
      <c r="H62" s="62">
        <f>H61/I35%</f>
        <v>11.25</v>
      </c>
      <c r="I62" s="55">
        <f>I61/I35%</f>
        <v>88.75</v>
      </c>
      <c r="J62" s="121"/>
      <c r="K62" s="4"/>
    </row>
    <row r="65" spans="1:12" ht="15" x14ac:dyDescent="0.25">
      <c r="A65" s="116" t="s">
        <v>0</v>
      </c>
      <c r="B65" s="832" t="s">
        <v>187</v>
      </c>
      <c r="C65" s="832"/>
      <c r="D65" s="832"/>
      <c r="E65" s="832"/>
      <c r="F65" s="832"/>
      <c r="G65" s="832"/>
      <c r="H65" s="832"/>
      <c r="I65" s="70" t="s">
        <v>11</v>
      </c>
      <c r="J65" s="739" t="s">
        <v>15</v>
      </c>
      <c r="K65" s="739"/>
      <c r="L65" s="705">
        <v>46062</v>
      </c>
    </row>
    <row r="66" spans="1:12" x14ac:dyDescent="0.2">
      <c r="A66" s="116" t="s">
        <v>1</v>
      </c>
      <c r="B66" s="848" t="s">
        <v>188</v>
      </c>
      <c r="C66" s="848"/>
      <c r="D66" s="848"/>
      <c r="E66" s="848"/>
      <c r="F66" s="848"/>
      <c r="G66" s="848"/>
      <c r="H66" s="848"/>
      <c r="I66" s="69">
        <v>700</v>
      </c>
      <c r="J66" s="739"/>
      <c r="K66" s="739"/>
    </row>
    <row r="67" spans="1:12" x14ac:dyDescent="0.2">
      <c r="A67" s="726" t="s">
        <v>3</v>
      </c>
      <c r="B67" s="845" t="s">
        <v>126</v>
      </c>
      <c r="C67" s="731" t="s">
        <v>19</v>
      </c>
      <c r="D67" s="837"/>
      <c r="E67" s="732"/>
      <c r="F67" s="807" t="s">
        <v>24</v>
      </c>
      <c r="G67" s="846"/>
      <c r="H67" s="847"/>
      <c r="I67" s="81" t="s">
        <v>12</v>
      </c>
      <c r="J67" s="726" t="s">
        <v>3</v>
      </c>
      <c r="K67" s="117" t="s">
        <v>13</v>
      </c>
    </row>
    <row r="68" spans="1:12" x14ac:dyDescent="0.2">
      <c r="A68" s="726"/>
      <c r="B68" s="845"/>
      <c r="C68" s="478" t="s">
        <v>27</v>
      </c>
      <c r="D68" s="4" t="s">
        <v>30</v>
      </c>
      <c r="E68" s="478" t="s">
        <v>128</v>
      </c>
      <c r="F68" s="216" t="s">
        <v>29</v>
      </c>
      <c r="G68" s="80" t="s">
        <v>8</v>
      </c>
      <c r="H68" s="67" t="s">
        <v>23</v>
      </c>
      <c r="I68" s="67" t="s">
        <v>23</v>
      </c>
      <c r="J68" s="726"/>
      <c r="K68" s="117" t="s">
        <v>14</v>
      </c>
    </row>
    <row r="69" spans="1:12" x14ac:dyDescent="0.2">
      <c r="A69" s="676" t="s">
        <v>182</v>
      </c>
      <c r="B69" s="677">
        <v>45931</v>
      </c>
      <c r="C69" s="479">
        <v>825840</v>
      </c>
      <c r="D69" s="686">
        <v>1287600</v>
      </c>
      <c r="E69" s="594">
        <v>1470750</v>
      </c>
      <c r="F69" s="223">
        <v>0.97</v>
      </c>
      <c r="G69" s="256"/>
      <c r="H69" s="256"/>
      <c r="I69" s="257"/>
      <c r="J69" s="122"/>
      <c r="K69" s="4"/>
    </row>
    <row r="70" spans="1:12" x14ac:dyDescent="0.2">
      <c r="A70" s="470"/>
      <c r="B70" s="472"/>
      <c r="C70" s="464"/>
      <c r="D70" s="6"/>
      <c r="E70" s="464"/>
      <c r="F70" s="471">
        <f>(D70*20 )</f>
        <v>0</v>
      </c>
      <c r="G70" s="8">
        <f>(D70*D$69)*F$69</f>
        <v>0</v>
      </c>
      <c r="H70" s="8">
        <f t="shared" ref="H70:H79" si="13">C70+D70+E70</f>
        <v>0</v>
      </c>
      <c r="I70" s="9">
        <f>I66-H70</f>
        <v>700</v>
      </c>
      <c r="J70" s="122"/>
      <c r="K70" s="10">
        <f t="shared" ref="K70:K79" si="14">J70-A70</f>
        <v>0</v>
      </c>
    </row>
    <row r="71" spans="1:12" x14ac:dyDescent="0.2">
      <c r="A71" s="470"/>
      <c r="B71" s="472"/>
      <c r="C71" s="464"/>
      <c r="D71" s="6"/>
      <c r="E71" s="464"/>
      <c r="F71" s="471">
        <f t="shared" ref="F71:F79" si="15">(D71*20 )</f>
        <v>0</v>
      </c>
      <c r="G71" s="8">
        <f t="shared" ref="G71:G79" si="16">(D71*D$69)*F$69</f>
        <v>0</v>
      </c>
      <c r="H71" s="8">
        <f t="shared" si="13"/>
        <v>0</v>
      </c>
      <c r="I71" s="9">
        <f>I70-H71</f>
        <v>700</v>
      </c>
      <c r="J71" s="122"/>
      <c r="K71" s="10">
        <f t="shared" si="14"/>
        <v>0</v>
      </c>
    </row>
    <row r="72" spans="1:12" x14ac:dyDescent="0.2">
      <c r="A72" s="470"/>
      <c r="B72" s="12"/>
      <c r="C72" s="464"/>
      <c r="D72" s="6"/>
      <c r="E72" s="464"/>
      <c r="F72" s="471">
        <f t="shared" si="15"/>
        <v>0</v>
      </c>
      <c r="G72" s="8">
        <f t="shared" si="16"/>
        <v>0</v>
      </c>
      <c r="H72" s="8">
        <f t="shared" si="13"/>
        <v>0</v>
      </c>
      <c r="I72" s="9">
        <f>I71-H72</f>
        <v>700</v>
      </c>
      <c r="J72" s="122"/>
      <c r="K72" s="10">
        <f t="shared" si="14"/>
        <v>0</v>
      </c>
    </row>
    <row r="73" spans="1:12" x14ac:dyDescent="0.2">
      <c r="A73" s="470"/>
      <c r="B73" s="472"/>
      <c r="C73" s="464"/>
      <c r="D73" s="6"/>
      <c r="E73" s="464"/>
      <c r="F73" s="471">
        <f t="shared" si="15"/>
        <v>0</v>
      </c>
      <c r="G73" s="8">
        <f t="shared" si="16"/>
        <v>0</v>
      </c>
      <c r="H73" s="8">
        <f t="shared" si="13"/>
        <v>0</v>
      </c>
      <c r="I73" s="589">
        <f>I72-H73</f>
        <v>700</v>
      </c>
      <c r="J73" s="122"/>
      <c r="K73" s="10">
        <f t="shared" si="14"/>
        <v>0</v>
      </c>
    </row>
    <row r="74" spans="1:12" x14ac:dyDescent="0.2">
      <c r="A74" s="470"/>
      <c r="B74" s="472"/>
      <c r="C74" s="464"/>
      <c r="D74" s="6"/>
      <c r="E74" s="464"/>
      <c r="F74" s="471">
        <f t="shared" si="15"/>
        <v>0</v>
      </c>
      <c r="G74" s="8">
        <f t="shared" si="16"/>
        <v>0</v>
      </c>
      <c r="H74" s="8">
        <f t="shared" si="13"/>
        <v>0</v>
      </c>
      <c r="I74" s="589">
        <f t="shared" ref="I74:I79" si="17">I73-H74</f>
        <v>700</v>
      </c>
      <c r="J74" s="122"/>
      <c r="K74" s="10">
        <f t="shared" si="14"/>
        <v>0</v>
      </c>
    </row>
    <row r="75" spans="1:12" x14ac:dyDescent="0.2">
      <c r="A75" s="470"/>
      <c r="B75" s="472"/>
      <c r="C75" s="464"/>
      <c r="D75" s="6"/>
      <c r="E75" s="464"/>
      <c r="F75" s="471">
        <f t="shared" si="15"/>
        <v>0</v>
      </c>
      <c r="G75" s="8">
        <f t="shared" si="16"/>
        <v>0</v>
      </c>
      <c r="H75" s="8">
        <f t="shared" si="13"/>
        <v>0</v>
      </c>
      <c r="I75" s="589">
        <f t="shared" si="17"/>
        <v>700</v>
      </c>
      <c r="J75" s="122"/>
      <c r="K75" s="10">
        <f t="shared" si="14"/>
        <v>0</v>
      </c>
    </row>
    <row r="76" spans="1:12" x14ac:dyDescent="0.2">
      <c r="A76" s="470"/>
      <c r="B76" s="472"/>
      <c r="C76" s="464"/>
      <c r="D76" s="6"/>
      <c r="E76" s="464"/>
      <c r="F76" s="471">
        <f t="shared" si="15"/>
        <v>0</v>
      </c>
      <c r="G76" s="8">
        <f t="shared" si="16"/>
        <v>0</v>
      </c>
      <c r="H76" s="8">
        <f t="shared" si="13"/>
        <v>0</v>
      </c>
      <c r="I76" s="589">
        <f t="shared" si="17"/>
        <v>700</v>
      </c>
      <c r="J76" s="122"/>
      <c r="K76" s="10">
        <f t="shared" si="14"/>
        <v>0</v>
      </c>
    </row>
    <row r="77" spans="1:12" x14ac:dyDescent="0.2">
      <c r="A77" s="470"/>
      <c r="B77" s="472"/>
      <c r="C77" s="464"/>
      <c r="D77" s="6"/>
      <c r="E77" s="464"/>
      <c r="F77" s="471">
        <f t="shared" si="15"/>
        <v>0</v>
      </c>
      <c r="G77" s="8">
        <f t="shared" si="16"/>
        <v>0</v>
      </c>
      <c r="H77" s="8">
        <f t="shared" si="13"/>
        <v>0</v>
      </c>
      <c r="I77" s="589">
        <f t="shared" si="17"/>
        <v>700</v>
      </c>
      <c r="J77" s="122"/>
      <c r="K77" s="10">
        <f t="shared" si="14"/>
        <v>0</v>
      </c>
    </row>
    <row r="78" spans="1:12" x14ac:dyDescent="0.2">
      <c r="A78" s="470"/>
      <c r="B78" s="472"/>
      <c r="C78" s="464"/>
      <c r="D78" s="6"/>
      <c r="E78" s="464"/>
      <c r="F78" s="471">
        <f t="shared" si="15"/>
        <v>0</v>
      </c>
      <c r="G78" s="8">
        <f t="shared" si="16"/>
        <v>0</v>
      </c>
      <c r="H78" s="8">
        <f t="shared" si="13"/>
        <v>0</v>
      </c>
      <c r="I78" s="589">
        <f t="shared" si="17"/>
        <v>700</v>
      </c>
      <c r="J78" s="122"/>
      <c r="K78" s="10">
        <f t="shared" si="14"/>
        <v>0</v>
      </c>
    </row>
    <row r="79" spans="1:12" x14ac:dyDescent="0.2">
      <c r="A79" s="470"/>
      <c r="B79" s="472"/>
      <c r="C79" s="464"/>
      <c r="D79" s="6"/>
      <c r="E79" s="464"/>
      <c r="F79" s="471">
        <f t="shared" si="15"/>
        <v>0</v>
      </c>
      <c r="G79" s="8">
        <f t="shared" si="16"/>
        <v>0</v>
      </c>
      <c r="H79" s="8">
        <f t="shared" si="13"/>
        <v>0</v>
      </c>
      <c r="I79" s="589">
        <f t="shared" si="17"/>
        <v>700</v>
      </c>
      <c r="J79" s="122"/>
      <c r="K79" s="10">
        <f t="shared" si="14"/>
        <v>0</v>
      </c>
    </row>
    <row r="80" spans="1:12" x14ac:dyDescent="0.2">
      <c r="A80" s="731" t="s">
        <v>18</v>
      </c>
      <c r="B80" s="732"/>
      <c r="C80" s="662">
        <f t="shared" ref="C80:H80" si="18">SUM(C70:C79)</f>
        <v>0</v>
      </c>
      <c r="D80" s="273">
        <f t="shared" si="18"/>
        <v>0</v>
      </c>
      <c r="E80" s="663">
        <f t="shared" si="18"/>
        <v>0</v>
      </c>
      <c r="F80" s="611">
        <f t="shared" si="18"/>
        <v>0</v>
      </c>
      <c r="G80" s="79">
        <f t="shared" si="18"/>
        <v>0</v>
      </c>
      <c r="H80" s="50">
        <f t="shared" si="18"/>
        <v>0</v>
      </c>
      <c r="I80" s="63">
        <f>I66-H80</f>
        <v>700</v>
      </c>
      <c r="J80" s="121"/>
      <c r="K80" s="4"/>
    </row>
    <row r="81" spans="1:12" x14ac:dyDescent="0.2">
      <c r="A81" s="4"/>
      <c r="B81" s="121"/>
      <c r="C81" s="7"/>
      <c r="D81" s="8"/>
      <c r="E81" s="8"/>
      <c r="F81" s="14"/>
      <c r="G81" s="56" t="s">
        <v>46</v>
      </c>
      <c r="H81" s="62">
        <f>H80/I66%</f>
        <v>0</v>
      </c>
      <c r="I81" s="55">
        <f>I80/I66%</f>
        <v>100</v>
      </c>
      <c r="J81" s="121"/>
      <c r="K81" s="4"/>
    </row>
    <row r="83" spans="1:12" x14ac:dyDescent="0.2">
      <c r="H83" s="44"/>
    </row>
    <row r="84" spans="1:12" ht="15" x14ac:dyDescent="0.25">
      <c r="A84" s="116" t="s">
        <v>0</v>
      </c>
      <c r="B84" s="832" t="s">
        <v>187</v>
      </c>
      <c r="C84" s="832"/>
      <c r="D84" s="832"/>
      <c r="E84" s="832"/>
      <c r="F84" s="832"/>
      <c r="G84" s="832"/>
      <c r="H84" s="832"/>
      <c r="I84" s="70" t="s">
        <v>11</v>
      </c>
      <c r="J84" s="739" t="s">
        <v>15</v>
      </c>
      <c r="K84" s="739"/>
      <c r="L84" s="705">
        <v>46062</v>
      </c>
    </row>
    <row r="85" spans="1:12" ht="15" x14ac:dyDescent="0.25">
      <c r="A85" s="116" t="s">
        <v>1</v>
      </c>
      <c r="B85" s="848" t="s">
        <v>218</v>
      </c>
      <c r="C85" s="848"/>
      <c r="D85" s="848"/>
      <c r="E85" s="848"/>
      <c r="F85" s="848"/>
      <c r="G85" s="848"/>
      <c r="H85" s="848"/>
      <c r="I85" s="148">
        <v>300</v>
      </c>
      <c r="J85" s="739"/>
      <c r="K85" s="739"/>
    </row>
    <row r="86" spans="1:12" x14ac:dyDescent="0.2">
      <c r="A86" s="122"/>
      <c r="B86" s="607"/>
      <c r="C86" s="478" t="s">
        <v>27</v>
      </c>
      <c r="D86" s="4" t="s">
        <v>30</v>
      </c>
      <c r="E86" s="478" t="s">
        <v>128</v>
      </c>
      <c r="F86" s="216" t="s">
        <v>29</v>
      </c>
      <c r="G86" s="80" t="s">
        <v>8</v>
      </c>
      <c r="H86" s="67" t="s">
        <v>23</v>
      </c>
      <c r="I86" s="67" t="s">
        <v>23</v>
      </c>
      <c r="J86" s="122"/>
      <c r="K86" s="117" t="s">
        <v>14</v>
      </c>
    </row>
    <row r="87" spans="1:12" x14ac:dyDescent="0.2">
      <c r="A87" s="676" t="s">
        <v>182</v>
      </c>
      <c r="B87" s="677">
        <v>45931</v>
      </c>
      <c r="C87" s="479"/>
      <c r="D87" s="686">
        <v>1287600</v>
      </c>
      <c r="E87" s="594"/>
      <c r="F87" s="223">
        <v>0.97</v>
      </c>
      <c r="G87" s="256"/>
      <c r="H87" s="256"/>
      <c r="I87" s="257"/>
      <c r="J87" s="122"/>
      <c r="K87" s="4"/>
    </row>
    <row r="88" spans="1:12" x14ac:dyDescent="0.2">
      <c r="A88" s="431"/>
      <c r="B88" s="435"/>
      <c r="C88" s="464"/>
      <c r="D88" s="6"/>
      <c r="E88" s="464"/>
      <c r="F88" s="471">
        <f>(D88*20 )</f>
        <v>0</v>
      </c>
      <c r="G88" s="8">
        <f>(C88*C$87+D88*D$87+E88*E$87)*F$87</f>
        <v>0</v>
      </c>
      <c r="H88" s="8">
        <f>C88+D88+E88</f>
        <v>0</v>
      </c>
      <c r="I88" s="9">
        <f>I85-H88</f>
        <v>300</v>
      </c>
      <c r="J88" s="122"/>
      <c r="K88" s="656">
        <f>J88-A88</f>
        <v>0</v>
      </c>
    </row>
    <row r="89" spans="1:12" x14ac:dyDescent="0.2">
      <c r="A89" s="431"/>
      <c r="B89" s="435"/>
      <c r="C89" s="464"/>
      <c r="D89" s="283"/>
      <c r="E89" s="464"/>
      <c r="F89" s="471">
        <f>(D89*20 )</f>
        <v>0</v>
      </c>
      <c r="G89" s="8">
        <f>(C89*C$87+D89*D$87+E89*E$87)*F$87</f>
        <v>0</v>
      </c>
      <c r="H89" s="8">
        <f>C89+D89+E89</f>
        <v>0</v>
      </c>
      <c r="I89" s="614">
        <f>I88-H89</f>
        <v>300</v>
      </c>
      <c r="J89" s="258"/>
      <c r="K89" s="10">
        <f>J89-A89</f>
        <v>0</v>
      </c>
    </row>
    <row r="90" spans="1:12" x14ac:dyDescent="0.2">
      <c r="A90" s="431"/>
      <c r="B90" s="435"/>
      <c r="C90" s="464"/>
      <c r="D90" s="6"/>
      <c r="E90" s="464"/>
      <c r="F90" s="471">
        <f>(D90*20 )</f>
        <v>0</v>
      </c>
      <c r="G90" s="8">
        <f>(C90*C$87+D90*D$87+E90*E$87)*F$87</f>
        <v>0</v>
      </c>
      <c r="H90" s="8">
        <f>C90+D90+E90</f>
        <v>0</v>
      </c>
      <c r="I90" s="13">
        <f>I89-H90</f>
        <v>300</v>
      </c>
      <c r="J90" s="122"/>
      <c r="K90" s="10"/>
    </row>
    <row r="91" spans="1:12" x14ac:dyDescent="0.2">
      <c r="A91" s="431"/>
      <c r="B91" s="435"/>
      <c r="C91" s="464"/>
      <c r="D91" s="6"/>
      <c r="E91" s="464"/>
      <c r="F91" s="471">
        <f>(D91*20 )</f>
        <v>0</v>
      </c>
      <c r="G91" s="8">
        <f>(C91*C$87+D91*D$87+E91*E$87)*F$87</f>
        <v>0</v>
      </c>
      <c r="H91" s="8">
        <f>C91+D91+E91</f>
        <v>0</v>
      </c>
      <c r="I91" s="13">
        <f>I90-H91</f>
        <v>300</v>
      </c>
      <c r="J91" s="122"/>
      <c r="K91" s="10"/>
    </row>
    <row r="92" spans="1:12" x14ac:dyDescent="0.2">
      <c r="A92" s="431"/>
      <c r="B92" s="435"/>
      <c r="C92" s="464"/>
      <c r="D92" s="6"/>
      <c r="E92" s="464"/>
      <c r="F92" s="471">
        <f>(D92*20 )</f>
        <v>0</v>
      </c>
      <c r="G92" s="8">
        <f>(C92*C$87+D92*D$87+E92*E$87)*F$87</f>
        <v>0</v>
      </c>
      <c r="H92" s="8">
        <f>C92+D92+E92</f>
        <v>0</v>
      </c>
      <c r="I92" s="13">
        <f>I91-H92</f>
        <v>300</v>
      </c>
      <c r="J92" s="122"/>
      <c r="K92" s="10"/>
    </row>
    <row r="93" spans="1:12" x14ac:dyDescent="0.2">
      <c r="A93" s="731" t="s">
        <v>18</v>
      </c>
      <c r="B93" s="732"/>
      <c r="C93" s="662"/>
      <c r="D93" s="273">
        <f>SUM(D88:D92)</f>
        <v>0</v>
      </c>
      <c r="E93" s="663">
        <f>SUM(E88:E92)</f>
        <v>0</v>
      </c>
      <c r="F93" s="611">
        <f>SUM(F88:F92)</f>
        <v>0</v>
      </c>
      <c r="G93" s="79">
        <f>SUM(G83:G92)</f>
        <v>0</v>
      </c>
      <c r="H93" s="50">
        <f>SUM(H83:H92)</f>
        <v>0</v>
      </c>
      <c r="I93" s="13">
        <f>I92-H93</f>
        <v>300</v>
      </c>
      <c r="J93" s="121"/>
      <c r="K93" s="4"/>
    </row>
    <row r="94" spans="1:12" x14ac:dyDescent="0.2">
      <c r="A94" s="4"/>
      <c r="B94" s="121"/>
      <c r="C94" s="7"/>
      <c r="D94" s="8"/>
      <c r="E94" s="8"/>
      <c r="F94" s="14"/>
      <c r="G94" s="56" t="s">
        <v>46</v>
      </c>
      <c r="H94" s="62">
        <f>H93/I79%</f>
        <v>0</v>
      </c>
      <c r="I94" s="55">
        <f>I93/I85%</f>
        <v>100</v>
      </c>
      <c r="J94" s="121"/>
      <c r="K94" s="4"/>
    </row>
    <row r="96" spans="1:12" ht="15" x14ac:dyDescent="0.25">
      <c r="A96" s="116" t="s">
        <v>0</v>
      </c>
      <c r="B96" s="832" t="s">
        <v>187</v>
      </c>
      <c r="C96" s="832"/>
      <c r="D96" s="832"/>
      <c r="E96" s="832"/>
      <c r="F96" s="832"/>
      <c r="G96" s="832"/>
      <c r="H96" s="832"/>
      <c r="I96" s="70" t="s">
        <v>11</v>
      </c>
      <c r="J96" s="739" t="s">
        <v>15</v>
      </c>
      <c r="K96" s="739"/>
    </row>
    <row r="97" spans="1:12" x14ac:dyDescent="0.2">
      <c r="A97" s="116" t="s">
        <v>1</v>
      </c>
      <c r="B97" s="848" t="s">
        <v>260</v>
      </c>
      <c r="C97" s="848"/>
      <c r="D97" s="848"/>
      <c r="E97" s="848"/>
      <c r="F97" s="848"/>
      <c r="G97" s="848"/>
      <c r="H97" s="848"/>
      <c r="I97" s="69">
        <v>25</v>
      </c>
      <c r="J97" s="739"/>
      <c r="K97" s="739"/>
    </row>
    <row r="98" spans="1:12" x14ac:dyDescent="0.2">
      <c r="A98" s="726" t="s">
        <v>3</v>
      </c>
      <c r="B98" s="845" t="s">
        <v>126</v>
      </c>
      <c r="C98" s="731" t="s">
        <v>19</v>
      </c>
      <c r="D98" s="837"/>
      <c r="E98" s="732"/>
      <c r="F98" s="807" t="s">
        <v>24</v>
      </c>
      <c r="G98" s="846"/>
      <c r="H98" s="847"/>
      <c r="I98" s="81" t="s">
        <v>12</v>
      </c>
      <c r="J98" s="726" t="s">
        <v>3</v>
      </c>
      <c r="K98" s="117" t="s">
        <v>13</v>
      </c>
    </row>
    <row r="99" spans="1:12" x14ac:dyDescent="0.2">
      <c r="A99" s="726"/>
      <c r="B99" s="845"/>
      <c r="C99" s="43" t="s">
        <v>27</v>
      </c>
      <c r="D99" s="4" t="s">
        <v>30</v>
      </c>
      <c r="E99" s="478" t="s">
        <v>128</v>
      </c>
      <c r="F99" s="216" t="s">
        <v>29</v>
      </c>
      <c r="G99" s="80" t="s">
        <v>8</v>
      </c>
      <c r="H99" s="67" t="s">
        <v>23</v>
      </c>
      <c r="I99" s="67" t="s">
        <v>23</v>
      </c>
      <c r="J99" s="726"/>
      <c r="K99" s="117" t="s">
        <v>14</v>
      </c>
    </row>
    <row r="100" spans="1:12" x14ac:dyDescent="0.2">
      <c r="A100" s="401" t="s">
        <v>182</v>
      </c>
      <c r="B100" s="402">
        <v>46296</v>
      </c>
      <c r="C100" s="476">
        <v>985680</v>
      </c>
      <c r="D100" s="476">
        <v>1207680</v>
      </c>
      <c r="E100" s="497"/>
      <c r="F100" s="256"/>
      <c r="G100" s="256"/>
      <c r="H100" s="256"/>
      <c r="I100" s="257"/>
      <c r="J100" s="122"/>
      <c r="K100" s="4"/>
    </row>
    <row r="101" spans="1:12" x14ac:dyDescent="0.2">
      <c r="A101" s="431"/>
      <c r="B101" s="435"/>
      <c r="C101" s="6"/>
      <c r="D101" s="6"/>
      <c r="E101" s="6"/>
      <c r="F101" s="14">
        <f>(C101*5+D101*20+E101*12)</f>
        <v>0</v>
      </c>
      <c r="G101" s="8">
        <f>(C101*C$100+D101*D$100+E101*E$100)</f>
        <v>0</v>
      </c>
      <c r="H101" s="8">
        <f>C101+D101+E101</f>
        <v>0</v>
      </c>
      <c r="I101" s="9">
        <f>I97-H101</f>
        <v>25</v>
      </c>
      <c r="J101" s="122"/>
      <c r="K101" s="10">
        <f>J101-A101</f>
        <v>0</v>
      </c>
    </row>
    <row r="102" spans="1:12" x14ac:dyDescent="0.2">
      <c r="A102" s="431"/>
      <c r="B102" s="435"/>
      <c r="C102" s="6"/>
      <c r="D102" s="6"/>
      <c r="E102" s="6">
        <v>0</v>
      </c>
      <c r="F102" s="14">
        <f>(C102*5+D102*20+E102*12)</f>
        <v>0</v>
      </c>
      <c r="G102" s="8">
        <f>(C102*C$100+D102*D$100+E102*E$100)</f>
        <v>0</v>
      </c>
      <c r="H102" s="8">
        <f>C102+D102+E102</f>
        <v>0</v>
      </c>
      <c r="I102" s="9">
        <f>I101-H102</f>
        <v>25</v>
      </c>
      <c r="J102" s="122"/>
      <c r="K102" s="10">
        <f>J102-A102</f>
        <v>0</v>
      </c>
    </row>
    <row r="103" spans="1:12" x14ac:dyDescent="0.2">
      <c r="A103" s="431"/>
      <c r="B103" s="435"/>
      <c r="C103" s="6"/>
      <c r="D103" s="6"/>
      <c r="E103" s="6"/>
      <c r="F103" s="14">
        <f>(C103*5+D103*20+E103*12)</f>
        <v>0</v>
      </c>
      <c r="G103" s="8">
        <f>(C103*C$100+D103*D$100+E103*E$100)</f>
        <v>0</v>
      </c>
      <c r="H103" s="8">
        <f>C103+D103+E103</f>
        <v>0</v>
      </c>
      <c r="I103" s="9">
        <f>I102-H103</f>
        <v>25</v>
      </c>
      <c r="J103" s="122"/>
      <c r="K103" s="10"/>
    </row>
    <row r="104" spans="1:12" x14ac:dyDescent="0.2">
      <c r="A104" s="431"/>
      <c r="B104" s="435"/>
      <c r="C104" s="6"/>
      <c r="D104" s="6"/>
      <c r="E104" s="6"/>
      <c r="F104" s="14">
        <f>(C104*5+D104*20+E104*12)</f>
        <v>0</v>
      </c>
      <c r="G104" s="8">
        <f>(C104*C$100+D104*D$100+E104*E$100)</f>
        <v>0</v>
      </c>
      <c r="H104" s="8">
        <f>C104+D104+E104</f>
        <v>0</v>
      </c>
      <c r="I104" s="9">
        <f>I103-H104</f>
        <v>25</v>
      </c>
      <c r="J104" s="122"/>
      <c r="K104" s="10"/>
    </row>
    <row r="105" spans="1:12" x14ac:dyDescent="0.2">
      <c r="A105" s="731" t="s">
        <v>18</v>
      </c>
      <c r="B105" s="732"/>
      <c r="C105" s="272">
        <f>SUM(C101:C104)</f>
        <v>0</v>
      </c>
      <c r="D105" s="273">
        <f>SUM(D101:D104)</f>
        <v>0</v>
      </c>
      <c r="E105" s="273">
        <f>SUM(E100:E104)</f>
        <v>0</v>
      </c>
      <c r="F105" s="611">
        <f>SUM(F100:F104)</f>
        <v>0</v>
      </c>
      <c r="G105" s="79">
        <f>SUM(G96:G104)</f>
        <v>0</v>
      </c>
      <c r="H105" s="50">
        <f>SUM(H96:H104)</f>
        <v>0</v>
      </c>
      <c r="I105" s="9">
        <f>I104-H105</f>
        <v>25</v>
      </c>
      <c r="J105" s="121"/>
      <c r="K105" s="4"/>
    </row>
    <row r="108" spans="1:12" ht="15" x14ac:dyDescent="0.25">
      <c r="A108" s="116" t="s">
        <v>0</v>
      </c>
      <c r="B108" s="832" t="s">
        <v>187</v>
      </c>
      <c r="C108" s="832"/>
      <c r="D108" s="832"/>
      <c r="E108" s="832"/>
      <c r="F108" s="832"/>
      <c r="G108" s="832"/>
      <c r="H108" s="832"/>
      <c r="I108" s="70" t="s">
        <v>11</v>
      </c>
      <c r="J108" s="739" t="s">
        <v>15</v>
      </c>
      <c r="K108" s="739"/>
      <c r="L108" s="705">
        <v>46083</v>
      </c>
    </row>
    <row r="109" spans="1:12" ht="14.25" x14ac:dyDescent="0.2">
      <c r="A109" s="116" t="s">
        <v>1</v>
      </c>
      <c r="B109" s="849" t="s">
        <v>193</v>
      </c>
      <c r="C109" s="849"/>
      <c r="D109" s="849"/>
      <c r="E109" s="849"/>
      <c r="F109" s="849"/>
      <c r="G109" s="849"/>
      <c r="H109" s="849"/>
      <c r="I109" s="69">
        <v>100</v>
      </c>
      <c r="J109" s="739"/>
      <c r="K109" s="739"/>
    </row>
    <row r="110" spans="1:12" x14ac:dyDescent="0.2">
      <c r="A110" s="726" t="s">
        <v>3</v>
      </c>
      <c r="B110" s="845" t="s">
        <v>126</v>
      </c>
      <c r="C110" s="731" t="s">
        <v>19</v>
      </c>
      <c r="D110" s="837"/>
      <c r="E110" s="732"/>
      <c r="F110" s="807" t="s">
        <v>24</v>
      </c>
      <c r="G110" s="846"/>
      <c r="H110" s="847"/>
      <c r="I110" s="81" t="s">
        <v>12</v>
      </c>
      <c r="J110" s="726" t="s">
        <v>3</v>
      </c>
      <c r="K110" s="117" t="s">
        <v>13</v>
      </c>
    </row>
    <row r="111" spans="1:12" x14ac:dyDescent="0.2">
      <c r="A111" s="726"/>
      <c r="B111" s="845"/>
      <c r="C111" s="4" t="s">
        <v>27</v>
      </c>
      <c r="D111" s="4" t="s">
        <v>30</v>
      </c>
      <c r="E111" s="4" t="s">
        <v>128</v>
      </c>
      <c r="F111" s="216" t="s">
        <v>29</v>
      </c>
      <c r="G111" s="80" t="s">
        <v>8</v>
      </c>
      <c r="H111" s="67" t="s">
        <v>23</v>
      </c>
      <c r="I111" s="67" t="s">
        <v>23</v>
      </c>
      <c r="J111" s="726"/>
      <c r="K111" s="117" t="s">
        <v>14</v>
      </c>
    </row>
    <row r="112" spans="1:12" x14ac:dyDescent="0.2">
      <c r="A112" s="401" t="s">
        <v>182</v>
      </c>
      <c r="B112" s="402">
        <v>45931</v>
      </c>
      <c r="C112" s="476">
        <v>985680</v>
      </c>
      <c r="D112" s="476">
        <v>1287600</v>
      </c>
      <c r="E112" s="497">
        <v>1518480</v>
      </c>
      <c r="F112" s="256"/>
      <c r="G112" s="256"/>
      <c r="H112" s="256"/>
      <c r="I112" s="257"/>
      <c r="J112" s="122"/>
      <c r="K112" s="4"/>
    </row>
    <row r="113" spans="1:12" x14ac:dyDescent="0.2">
      <c r="A113" s="431"/>
      <c r="B113" s="435"/>
      <c r="C113" s="6"/>
      <c r="D113" s="6"/>
      <c r="E113" s="6"/>
      <c r="F113" s="612">
        <f>(C113*5+D113*20+E113*12)</f>
        <v>0</v>
      </c>
      <c r="G113" s="8">
        <f>(C113*C$112+D113*D$112+E113*E$112)</f>
        <v>0</v>
      </c>
      <c r="H113" s="8">
        <f t="shared" ref="H113:H121" si="19">C113+D113+E113</f>
        <v>0</v>
      </c>
      <c r="I113" s="9">
        <f>I109-H113</f>
        <v>100</v>
      </c>
      <c r="J113" s="122"/>
      <c r="K113" s="10">
        <f t="shared" ref="K113:K121" si="20">J113-A113</f>
        <v>0</v>
      </c>
    </row>
    <row r="114" spans="1:12" x14ac:dyDescent="0.2">
      <c r="A114" s="431"/>
      <c r="B114" s="435"/>
      <c r="C114" s="6"/>
      <c r="D114" s="6"/>
      <c r="E114" s="6"/>
      <c r="F114" s="612">
        <f t="shared" ref="F114:F121" si="21">(C114*5+D114*20+E114*12)</f>
        <v>0</v>
      </c>
      <c r="G114" s="8">
        <f t="shared" ref="G114:G121" si="22">(C114*C$112+D114*D$112+E114*E$112)</f>
        <v>0</v>
      </c>
      <c r="H114" s="8">
        <f t="shared" si="19"/>
        <v>0</v>
      </c>
      <c r="I114" s="9">
        <f t="shared" ref="I114:I121" si="23">I113-H114</f>
        <v>100</v>
      </c>
      <c r="J114" s="122"/>
      <c r="K114" s="15">
        <f t="shared" si="20"/>
        <v>0</v>
      </c>
    </row>
    <row r="115" spans="1:12" x14ac:dyDescent="0.2">
      <c r="A115" s="431"/>
      <c r="B115" s="435"/>
      <c r="C115" s="6"/>
      <c r="D115" s="6"/>
      <c r="E115" s="6"/>
      <c r="F115" s="612">
        <f t="shared" si="21"/>
        <v>0</v>
      </c>
      <c r="G115" s="8">
        <f t="shared" si="22"/>
        <v>0</v>
      </c>
      <c r="H115" s="8">
        <f t="shared" si="19"/>
        <v>0</v>
      </c>
      <c r="I115" s="9">
        <f t="shared" si="23"/>
        <v>100</v>
      </c>
      <c r="J115" s="122"/>
      <c r="K115" s="10">
        <f t="shared" si="20"/>
        <v>0</v>
      </c>
    </row>
    <row r="116" spans="1:12" x14ac:dyDescent="0.2">
      <c r="A116" s="431"/>
      <c r="B116" s="435"/>
      <c r="C116" s="6"/>
      <c r="D116" s="6"/>
      <c r="E116" s="6"/>
      <c r="F116" s="612">
        <f t="shared" si="21"/>
        <v>0</v>
      </c>
      <c r="G116" s="8">
        <f t="shared" si="22"/>
        <v>0</v>
      </c>
      <c r="H116" s="8">
        <f t="shared" si="19"/>
        <v>0</v>
      </c>
      <c r="I116" s="9">
        <f t="shared" si="23"/>
        <v>100</v>
      </c>
      <c r="J116" s="122"/>
      <c r="K116" s="10">
        <f t="shared" si="20"/>
        <v>0</v>
      </c>
    </row>
    <row r="117" spans="1:12" x14ac:dyDescent="0.2">
      <c r="A117" s="431"/>
      <c r="B117" s="435"/>
      <c r="C117" s="6"/>
      <c r="D117" s="6"/>
      <c r="E117" s="6"/>
      <c r="F117" s="612">
        <f t="shared" si="21"/>
        <v>0</v>
      </c>
      <c r="G117" s="8">
        <f t="shared" si="22"/>
        <v>0</v>
      </c>
      <c r="H117" s="8">
        <f t="shared" si="19"/>
        <v>0</v>
      </c>
      <c r="I117" s="9">
        <f t="shared" si="23"/>
        <v>100</v>
      </c>
      <c r="J117" s="122"/>
      <c r="K117" s="10">
        <f t="shared" si="20"/>
        <v>0</v>
      </c>
    </row>
    <row r="118" spans="1:12" x14ac:dyDescent="0.2">
      <c r="A118" s="431"/>
      <c r="B118" s="435"/>
      <c r="C118" s="6"/>
      <c r="D118" s="6"/>
      <c r="E118" s="6"/>
      <c r="F118" s="612">
        <f t="shared" si="21"/>
        <v>0</v>
      </c>
      <c r="G118" s="8">
        <f t="shared" si="22"/>
        <v>0</v>
      </c>
      <c r="H118" s="8">
        <f t="shared" si="19"/>
        <v>0</v>
      </c>
      <c r="I118" s="9">
        <f t="shared" si="23"/>
        <v>100</v>
      </c>
      <c r="J118" s="122"/>
      <c r="K118" s="10">
        <f t="shared" si="20"/>
        <v>0</v>
      </c>
    </row>
    <row r="119" spans="1:12" x14ac:dyDescent="0.2">
      <c r="A119" s="431"/>
      <c r="B119" s="435"/>
      <c r="C119" s="6"/>
      <c r="D119" s="6"/>
      <c r="E119" s="6"/>
      <c r="F119" s="612">
        <f t="shared" si="21"/>
        <v>0</v>
      </c>
      <c r="G119" s="8">
        <f t="shared" si="22"/>
        <v>0</v>
      </c>
      <c r="H119" s="8">
        <f t="shared" si="19"/>
        <v>0</v>
      </c>
      <c r="I119" s="9">
        <f t="shared" si="23"/>
        <v>100</v>
      </c>
      <c r="J119" s="122"/>
      <c r="K119" s="10">
        <f t="shared" si="20"/>
        <v>0</v>
      </c>
    </row>
    <row r="120" spans="1:12" x14ac:dyDescent="0.2">
      <c r="A120" s="431"/>
      <c r="B120" s="435"/>
      <c r="C120" s="6"/>
      <c r="D120" s="6"/>
      <c r="E120" s="6"/>
      <c r="F120" s="612">
        <f t="shared" si="21"/>
        <v>0</v>
      </c>
      <c r="G120" s="8">
        <f t="shared" si="22"/>
        <v>0</v>
      </c>
      <c r="H120" s="8">
        <f t="shared" si="19"/>
        <v>0</v>
      </c>
      <c r="I120" s="9">
        <f t="shared" si="23"/>
        <v>100</v>
      </c>
      <c r="J120" s="122"/>
      <c r="K120" s="10">
        <f t="shared" si="20"/>
        <v>0</v>
      </c>
    </row>
    <row r="121" spans="1:12" x14ac:dyDescent="0.2">
      <c r="A121" s="431"/>
      <c r="B121" s="435"/>
      <c r="C121" s="6"/>
      <c r="D121" s="6"/>
      <c r="E121" s="6"/>
      <c r="F121" s="612">
        <f t="shared" si="21"/>
        <v>0</v>
      </c>
      <c r="G121" s="8">
        <f t="shared" si="22"/>
        <v>0</v>
      </c>
      <c r="H121" s="8">
        <f t="shared" si="19"/>
        <v>0</v>
      </c>
      <c r="I121" s="9">
        <f t="shared" si="23"/>
        <v>100</v>
      </c>
      <c r="J121" s="122"/>
      <c r="K121" s="10">
        <f t="shared" si="20"/>
        <v>0</v>
      </c>
    </row>
    <row r="122" spans="1:12" x14ac:dyDescent="0.2">
      <c r="A122" s="731" t="s">
        <v>18</v>
      </c>
      <c r="B122" s="732"/>
      <c r="C122" s="272">
        <f t="shared" ref="C122:H122" si="24">SUM(C113:C121)</f>
        <v>0</v>
      </c>
      <c r="D122" s="273">
        <f t="shared" si="24"/>
        <v>0</v>
      </c>
      <c r="E122" s="273">
        <f t="shared" si="24"/>
        <v>0</v>
      </c>
      <c r="F122" s="611">
        <f t="shared" si="24"/>
        <v>0</v>
      </c>
      <c r="G122" s="79">
        <f t="shared" si="24"/>
        <v>0</v>
      </c>
      <c r="H122" s="50">
        <f t="shared" si="24"/>
        <v>0</v>
      </c>
      <c r="I122" s="49">
        <f>I109-H122</f>
        <v>100</v>
      </c>
      <c r="J122" s="121"/>
      <c r="K122" s="4"/>
    </row>
    <row r="123" spans="1:12" x14ac:dyDescent="0.2">
      <c r="A123" s="4"/>
      <c r="B123" s="121"/>
      <c r="C123" s="7"/>
      <c r="D123" s="8"/>
      <c r="E123" s="8"/>
      <c r="F123" s="14"/>
      <c r="G123" s="56" t="s">
        <v>46</v>
      </c>
      <c r="H123" s="62">
        <f>H122/I109%</f>
        <v>0</v>
      </c>
      <c r="I123" s="55">
        <f>I122/I109%</f>
        <v>100</v>
      </c>
      <c r="J123" s="121"/>
      <c r="K123" s="4"/>
    </row>
    <row r="126" spans="1:12" ht="15" x14ac:dyDescent="0.25">
      <c r="A126" s="116" t="s">
        <v>0</v>
      </c>
      <c r="B126" s="832" t="s">
        <v>187</v>
      </c>
      <c r="C126" s="832"/>
      <c r="D126" s="832"/>
      <c r="E126" s="832"/>
      <c r="F126" s="832"/>
      <c r="G126" s="832"/>
      <c r="H126" s="832"/>
      <c r="I126" s="70" t="s">
        <v>11</v>
      </c>
      <c r="J126" s="739" t="s">
        <v>15</v>
      </c>
      <c r="K126" s="739"/>
      <c r="L126" s="705">
        <v>46083</v>
      </c>
    </row>
    <row r="127" spans="1:12" ht="14.25" x14ac:dyDescent="0.2">
      <c r="A127" s="116" t="s">
        <v>1</v>
      </c>
      <c r="B127" s="849" t="s">
        <v>35</v>
      </c>
      <c r="C127" s="849"/>
      <c r="D127" s="849"/>
      <c r="E127" s="849"/>
      <c r="F127" s="849"/>
      <c r="G127" s="849"/>
      <c r="H127" s="849"/>
      <c r="I127" s="69">
        <v>2000</v>
      </c>
      <c r="J127" s="739"/>
      <c r="K127" s="739"/>
    </row>
    <row r="128" spans="1:12" x14ac:dyDescent="0.2">
      <c r="A128" s="726" t="s">
        <v>3</v>
      </c>
      <c r="B128" s="845" t="s">
        <v>126</v>
      </c>
      <c r="C128" s="731" t="s">
        <v>19</v>
      </c>
      <c r="D128" s="837"/>
      <c r="E128" s="732"/>
      <c r="F128" s="807" t="s">
        <v>24</v>
      </c>
      <c r="G128" s="846"/>
      <c r="H128" s="847"/>
      <c r="I128" s="81" t="s">
        <v>12</v>
      </c>
      <c r="J128" s="726" t="s">
        <v>3</v>
      </c>
      <c r="K128" s="117" t="s">
        <v>13</v>
      </c>
    </row>
    <row r="129" spans="1:11" x14ac:dyDescent="0.2">
      <c r="A129" s="726"/>
      <c r="B129" s="845"/>
      <c r="C129" s="4" t="s">
        <v>27</v>
      </c>
      <c r="D129" s="4" t="s">
        <v>30</v>
      </c>
      <c r="E129" s="4" t="s">
        <v>128</v>
      </c>
      <c r="F129" s="216" t="s">
        <v>29</v>
      </c>
      <c r="G129" s="80" t="s">
        <v>8</v>
      </c>
      <c r="H129" s="67" t="s">
        <v>23</v>
      </c>
      <c r="I129" s="67" t="s">
        <v>23</v>
      </c>
      <c r="J129" s="726"/>
      <c r="K129" s="117" t="s">
        <v>14</v>
      </c>
    </row>
    <row r="130" spans="1:11" x14ac:dyDescent="0.2">
      <c r="A130" s="676" t="s">
        <v>182</v>
      </c>
      <c r="B130" s="677">
        <v>45931</v>
      </c>
      <c r="C130" s="686">
        <v>985680</v>
      </c>
      <c r="D130" s="686">
        <v>1287600</v>
      </c>
      <c r="E130" s="678">
        <v>1518480</v>
      </c>
      <c r="F130" s="223">
        <v>0.96</v>
      </c>
      <c r="G130" s="256"/>
      <c r="H130" s="256"/>
      <c r="I130" s="257"/>
      <c r="J130" s="122"/>
      <c r="K130" s="4"/>
    </row>
    <row r="131" spans="1:11" x14ac:dyDescent="0.2">
      <c r="A131" s="431">
        <v>46064</v>
      </c>
      <c r="B131" s="112">
        <v>24121</v>
      </c>
      <c r="C131" s="6">
        <v>100</v>
      </c>
      <c r="D131" s="6">
        <v>200</v>
      </c>
      <c r="E131" s="6">
        <v>100</v>
      </c>
      <c r="F131" s="612">
        <f>(C131*5+D131*20+E131*12)</f>
        <v>5700</v>
      </c>
      <c r="G131" s="8">
        <f>(C131*C$130+D131*D$130+E131*E$130)*F$130</f>
        <v>487618560</v>
      </c>
      <c r="H131" s="8">
        <f t="shared" ref="H131:H136" si="25">C131+D131+E131</f>
        <v>400</v>
      </c>
      <c r="I131" s="9">
        <f>I127-H131</f>
        <v>1600</v>
      </c>
      <c r="J131" s="122">
        <f>'[1]Area 5'!$D$38</f>
        <v>0</v>
      </c>
      <c r="K131" s="10">
        <f t="shared" ref="K131:K136" si="26">J131-A131</f>
        <v>-46064</v>
      </c>
    </row>
    <row r="132" spans="1:11" x14ac:dyDescent="0.2">
      <c r="A132" s="431"/>
      <c r="B132" s="112"/>
      <c r="C132" s="6"/>
      <c r="D132" s="6"/>
      <c r="E132" s="6"/>
      <c r="F132" s="612">
        <f t="shared" ref="F132:F142" si="27">(C132*5+D132*20+E132*12)</f>
        <v>0</v>
      </c>
      <c r="G132" s="8">
        <f t="shared" ref="G132:G142" si="28">(C132*C$130+D132*D$130+E132*E$130)*F$130</f>
        <v>0</v>
      </c>
      <c r="H132" s="8">
        <f t="shared" si="25"/>
        <v>0</v>
      </c>
      <c r="I132" s="9">
        <f>I131-H132</f>
        <v>1600</v>
      </c>
      <c r="J132" s="122"/>
      <c r="K132" s="10">
        <f t="shared" si="26"/>
        <v>0</v>
      </c>
    </row>
    <row r="133" spans="1:11" x14ac:dyDescent="0.2">
      <c r="A133" s="431"/>
      <c r="B133" s="435"/>
      <c r="C133" s="6"/>
      <c r="D133" s="6"/>
      <c r="E133" s="6"/>
      <c r="F133" s="612">
        <f t="shared" si="27"/>
        <v>0</v>
      </c>
      <c r="G133" s="8">
        <f t="shared" si="28"/>
        <v>0</v>
      </c>
      <c r="H133" s="8">
        <f t="shared" si="25"/>
        <v>0</v>
      </c>
      <c r="I133" s="9">
        <f>I132-H133</f>
        <v>1600</v>
      </c>
      <c r="J133" s="122"/>
      <c r="K133" s="10">
        <f t="shared" si="26"/>
        <v>0</v>
      </c>
    </row>
    <row r="134" spans="1:11" x14ac:dyDescent="0.2">
      <c r="A134" s="431"/>
      <c r="B134" s="435"/>
      <c r="C134" s="6"/>
      <c r="D134" s="6"/>
      <c r="E134" s="6"/>
      <c r="F134" s="612">
        <f t="shared" si="27"/>
        <v>0</v>
      </c>
      <c r="G134" s="8">
        <f t="shared" si="28"/>
        <v>0</v>
      </c>
      <c r="H134" s="8">
        <f t="shared" si="25"/>
        <v>0</v>
      </c>
      <c r="I134" s="9">
        <f>I133-H134</f>
        <v>1600</v>
      </c>
      <c r="J134" s="122"/>
      <c r="K134" s="10">
        <f t="shared" si="26"/>
        <v>0</v>
      </c>
    </row>
    <row r="135" spans="1:11" x14ac:dyDescent="0.2">
      <c r="A135" s="431"/>
      <c r="B135" s="711"/>
      <c r="C135" s="6"/>
      <c r="D135" s="6"/>
      <c r="E135" s="6"/>
      <c r="F135" s="612">
        <f t="shared" si="27"/>
        <v>0</v>
      </c>
      <c r="G135" s="8">
        <f t="shared" si="28"/>
        <v>0</v>
      </c>
      <c r="H135" s="8">
        <f t="shared" si="25"/>
        <v>0</v>
      </c>
      <c r="I135" s="9">
        <f>I134-H135</f>
        <v>1600</v>
      </c>
      <c r="J135" s="122"/>
      <c r="K135" s="10">
        <f t="shared" si="26"/>
        <v>0</v>
      </c>
    </row>
    <row r="136" spans="1:11" x14ac:dyDescent="0.2">
      <c r="A136" s="431"/>
      <c r="B136" s="112"/>
      <c r="C136" s="6"/>
      <c r="D136" s="6"/>
      <c r="E136" s="6"/>
      <c r="F136" s="612">
        <f t="shared" si="27"/>
        <v>0</v>
      </c>
      <c r="G136" s="8">
        <f t="shared" si="28"/>
        <v>0</v>
      </c>
      <c r="H136" s="8">
        <f t="shared" si="25"/>
        <v>0</v>
      </c>
      <c r="I136" s="13">
        <f>I135-H136</f>
        <v>1600</v>
      </c>
      <c r="J136" s="122"/>
      <c r="K136" s="10">
        <f t="shared" si="26"/>
        <v>0</v>
      </c>
    </row>
    <row r="137" spans="1:11" x14ac:dyDescent="0.2">
      <c r="A137" s="431"/>
      <c r="B137" s="435"/>
      <c r="C137" s="6"/>
      <c r="D137" s="6"/>
      <c r="E137" s="6"/>
      <c r="F137" s="612">
        <f t="shared" si="27"/>
        <v>0</v>
      </c>
      <c r="G137" s="8">
        <f t="shared" si="28"/>
        <v>0</v>
      </c>
      <c r="H137" s="8">
        <f t="shared" ref="H137:H142" si="29">C137+D137+E137</f>
        <v>0</v>
      </c>
      <c r="I137" s="13">
        <f t="shared" ref="I137:I142" si="30">I136-H137</f>
        <v>1600</v>
      </c>
      <c r="J137" s="122"/>
      <c r="K137" s="10">
        <f t="shared" ref="K137:K142" si="31">J137-A137</f>
        <v>0</v>
      </c>
    </row>
    <row r="138" spans="1:11" x14ac:dyDescent="0.2">
      <c r="A138" s="431"/>
      <c r="B138" s="435"/>
      <c r="C138" s="6"/>
      <c r="D138" s="6"/>
      <c r="E138" s="6"/>
      <c r="F138" s="612">
        <f t="shared" si="27"/>
        <v>0</v>
      </c>
      <c r="G138" s="8">
        <f t="shared" si="28"/>
        <v>0</v>
      </c>
      <c r="H138" s="8">
        <f t="shared" si="29"/>
        <v>0</v>
      </c>
      <c r="I138" s="13">
        <f t="shared" si="30"/>
        <v>1600</v>
      </c>
      <c r="J138" s="122"/>
      <c r="K138" s="10">
        <f t="shared" si="31"/>
        <v>0</v>
      </c>
    </row>
    <row r="139" spans="1:11" x14ac:dyDescent="0.2">
      <c r="A139" s="431"/>
      <c r="B139" s="435"/>
      <c r="C139" s="6"/>
      <c r="D139" s="6"/>
      <c r="E139" s="6"/>
      <c r="F139" s="612">
        <f t="shared" si="27"/>
        <v>0</v>
      </c>
      <c r="G139" s="8">
        <f t="shared" si="28"/>
        <v>0</v>
      </c>
      <c r="H139" s="8">
        <f t="shared" si="29"/>
        <v>0</v>
      </c>
      <c r="I139" s="13">
        <f t="shared" si="30"/>
        <v>1600</v>
      </c>
      <c r="J139" s="122"/>
      <c r="K139" s="10">
        <f t="shared" si="31"/>
        <v>0</v>
      </c>
    </row>
    <row r="140" spans="1:11" x14ac:dyDescent="0.2">
      <c r="A140" s="470"/>
      <c r="B140" s="472"/>
      <c r="C140" s="283"/>
      <c r="D140" s="283"/>
      <c r="E140" s="283"/>
      <c r="F140" s="612">
        <f t="shared" si="27"/>
        <v>0</v>
      </c>
      <c r="G140" s="8">
        <f t="shared" si="28"/>
        <v>0</v>
      </c>
      <c r="H140" s="8">
        <f t="shared" si="29"/>
        <v>0</v>
      </c>
      <c r="I140" s="13">
        <f t="shared" si="30"/>
        <v>1600</v>
      </c>
      <c r="J140" s="122"/>
      <c r="K140" s="10">
        <f t="shared" si="31"/>
        <v>0</v>
      </c>
    </row>
    <row r="141" spans="1:11" x14ac:dyDescent="0.2">
      <c r="A141" s="431"/>
      <c r="B141" s="435"/>
      <c r="C141" s="6"/>
      <c r="D141" s="6"/>
      <c r="E141" s="6"/>
      <c r="F141" s="612">
        <f t="shared" si="27"/>
        <v>0</v>
      </c>
      <c r="G141" s="8">
        <f t="shared" si="28"/>
        <v>0</v>
      </c>
      <c r="H141" s="8">
        <f t="shared" si="29"/>
        <v>0</v>
      </c>
      <c r="I141" s="13">
        <f t="shared" si="30"/>
        <v>1600</v>
      </c>
      <c r="J141" s="122"/>
      <c r="K141" s="10">
        <f t="shared" si="31"/>
        <v>0</v>
      </c>
    </row>
    <row r="142" spans="1:11" x14ac:dyDescent="0.2">
      <c r="A142" s="431"/>
      <c r="B142" s="435"/>
      <c r="C142" s="6"/>
      <c r="D142" s="6"/>
      <c r="E142" s="6"/>
      <c r="F142" s="612">
        <f t="shared" si="27"/>
        <v>0</v>
      </c>
      <c r="G142" s="8">
        <f t="shared" si="28"/>
        <v>0</v>
      </c>
      <c r="H142" s="8">
        <f t="shared" si="29"/>
        <v>0</v>
      </c>
      <c r="I142" s="13">
        <f t="shared" si="30"/>
        <v>1600</v>
      </c>
      <c r="J142" s="122"/>
      <c r="K142" s="10">
        <f t="shared" si="31"/>
        <v>0</v>
      </c>
    </row>
    <row r="143" spans="1:11" x14ac:dyDescent="0.2">
      <c r="A143" s="731" t="s">
        <v>18</v>
      </c>
      <c r="B143" s="732"/>
      <c r="C143" s="7">
        <f t="shared" ref="C143:H143" si="32">SUM(C131:C142)</f>
        <v>100</v>
      </c>
      <c r="D143" s="8">
        <f t="shared" si="32"/>
        <v>200</v>
      </c>
      <c r="E143" s="8">
        <f t="shared" si="32"/>
        <v>100</v>
      </c>
      <c r="F143" s="613">
        <f t="shared" si="32"/>
        <v>5700</v>
      </c>
      <c r="G143" s="79">
        <f t="shared" si="32"/>
        <v>487618560</v>
      </c>
      <c r="H143" s="50">
        <f t="shared" si="32"/>
        <v>400</v>
      </c>
      <c r="I143" s="49">
        <f>I127-H143</f>
        <v>1600</v>
      </c>
      <c r="J143" s="121"/>
      <c r="K143" s="4"/>
    </row>
    <row r="144" spans="1:11" x14ac:dyDescent="0.2">
      <c r="A144" s="3"/>
      <c r="B144" s="126"/>
      <c r="C144" s="45"/>
      <c r="D144" s="46"/>
      <c r="E144" s="46"/>
      <c r="F144" s="47"/>
      <c r="G144" s="56" t="s">
        <v>46</v>
      </c>
      <c r="H144" s="62">
        <f>H143/I127%</f>
        <v>20</v>
      </c>
      <c r="I144" s="55">
        <f>I143/I127%</f>
        <v>80</v>
      </c>
      <c r="J144" s="126"/>
      <c r="K144" s="3"/>
    </row>
    <row r="145" spans="1:11" x14ac:dyDescent="0.2">
      <c r="A145" s="26"/>
      <c r="B145" s="131"/>
      <c r="C145" s="353"/>
      <c r="D145" s="354"/>
      <c r="E145" s="354"/>
      <c r="F145" s="355"/>
      <c r="G145" s="100"/>
      <c r="H145" s="101"/>
      <c r="I145" s="109"/>
      <c r="J145" s="356"/>
      <c r="K145" s="26"/>
    </row>
    <row r="146" spans="1:11" x14ac:dyDescent="0.2">
      <c r="A146" s="26"/>
      <c r="B146" s="131"/>
      <c r="C146" s="353"/>
      <c r="D146" s="354"/>
      <c r="E146" s="354"/>
      <c r="F146" s="355"/>
      <c r="G146" s="100"/>
      <c r="H146" s="101"/>
      <c r="I146" s="109"/>
      <c r="J146" s="356"/>
      <c r="K146" s="26"/>
    </row>
    <row r="147" spans="1:11" ht="15" x14ac:dyDescent="0.25">
      <c r="A147" s="116" t="s">
        <v>0</v>
      </c>
      <c r="B147" s="832" t="s">
        <v>187</v>
      </c>
      <c r="C147" s="832"/>
      <c r="D147" s="832"/>
      <c r="E147" s="832"/>
      <c r="F147" s="832"/>
      <c r="G147" s="832"/>
      <c r="H147" s="832"/>
      <c r="I147" s="70" t="s">
        <v>11</v>
      </c>
      <c r="J147" s="739" t="s">
        <v>15</v>
      </c>
      <c r="K147" s="739"/>
    </row>
    <row r="148" spans="1:11" x14ac:dyDescent="0.2">
      <c r="A148" s="116" t="s">
        <v>1</v>
      </c>
      <c r="B148" s="848" t="s">
        <v>270</v>
      </c>
      <c r="C148" s="848"/>
      <c r="D148" s="848"/>
      <c r="E148" s="848"/>
      <c r="F148" s="848"/>
      <c r="G148" s="848"/>
      <c r="H148" s="848"/>
      <c r="I148" s="69">
        <v>50</v>
      </c>
      <c r="J148" s="739"/>
      <c r="K148" s="739"/>
    </row>
    <row r="149" spans="1:11" x14ac:dyDescent="0.2">
      <c r="A149" s="726" t="s">
        <v>3</v>
      </c>
      <c r="B149" s="845" t="s">
        <v>126</v>
      </c>
      <c r="C149" s="731" t="s">
        <v>19</v>
      </c>
      <c r="D149" s="837"/>
      <c r="E149" s="732"/>
      <c r="F149" s="807" t="s">
        <v>24</v>
      </c>
      <c r="G149" s="846"/>
      <c r="H149" s="847"/>
      <c r="I149" s="81" t="s">
        <v>12</v>
      </c>
      <c r="J149" s="726" t="s">
        <v>3</v>
      </c>
      <c r="K149" s="117" t="s">
        <v>13</v>
      </c>
    </row>
    <row r="150" spans="1:11" x14ac:dyDescent="0.2">
      <c r="A150" s="726"/>
      <c r="B150" s="845"/>
      <c r="C150" s="43" t="s">
        <v>27</v>
      </c>
      <c r="D150" s="4" t="s">
        <v>30</v>
      </c>
      <c r="E150" s="478" t="s">
        <v>128</v>
      </c>
      <c r="F150" s="216" t="s">
        <v>29</v>
      </c>
      <c r="G150" s="80" t="s">
        <v>8</v>
      </c>
      <c r="H150" s="67" t="s">
        <v>23</v>
      </c>
      <c r="I150" s="67" t="s">
        <v>23</v>
      </c>
      <c r="J150" s="726"/>
      <c r="K150" s="117" t="s">
        <v>14</v>
      </c>
    </row>
    <row r="151" spans="1:11" x14ac:dyDescent="0.2">
      <c r="A151" s="676" t="s">
        <v>182</v>
      </c>
      <c r="B151" s="677">
        <v>45931</v>
      </c>
      <c r="C151" s="686">
        <v>985680</v>
      </c>
      <c r="D151" s="686">
        <v>1287600</v>
      </c>
      <c r="E151" s="594"/>
      <c r="F151" s="256"/>
      <c r="G151" s="256"/>
      <c r="H151" s="256"/>
      <c r="I151" s="257"/>
      <c r="J151" s="122"/>
      <c r="K151" s="4"/>
    </row>
    <row r="152" spans="1:11" x14ac:dyDescent="0.2">
      <c r="A152" s="431"/>
      <c r="B152" s="435"/>
      <c r="C152" s="6"/>
      <c r="D152" s="6"/>
      <c r="E152" s="6"/>
      <c r="F152" s="14">
        <f>(C152*5+D152*20+E152*12)</f>
        <v>0</v>
      </c>
      <c r="G152" s="8">
        <f>(C152*C$151+D152*D$151+E152*E$151)</f>
        <v>0</v>
      </c>
      <c r="H152" s="8">
        <f t="shared" ref="H152:H159" si="33">C152+D152+E152</f>
        <v>0</v>
      </c>
      <c r="I152" s="9">
        <f>I148-H152</f>
        <v>50</v>
      </c>
      <c r="J152" s="122"/>
      <c r="K152" s="10">
        <f t="shared" ref="K152:K159" si="34">J152-A152</f>
        <v>0</v>
      </c>
    </row>
    <row r="153" spans="1:11" x14ac:dyDescent="0.2">
      <c r="A153" s="431"/>
      <c r="B153" s="435"/>
      <c r="C153" s="6"/>
      <c r="D153" s="6"/>
      <c r="E153" s="6"/>
      <c r="F153" s="14">
        <f t="shared" ref="F153:F159" si="35">(C153*5+D153*20+E153*12)</f>
        <v>0</v>
      </c>
      <c r="G153" s="8">
        <f t="shared" ref="G153:G159" si="36">(C153*C$151+D153*D$151+E153*E$151)</f>
        <v>0</v>
      </c>
      <c r="H153" s="8">
        <f t="shared" si="33"/>
        <v>0</v>
      </c>
      <c r="I153" s="9">
        <f t="shared" ref="I153:I159" si="37">I152-H153</f>
        <v>50</v>
      </c>
      <c r="J153" s="122"/>
      <c r="K153" s="10">
        <f t="shared" si="34"/>
        <v>0</v>
      </c>
    </row>
    <row r="154" spans="1:11" x14ac:dyDescent="0.2">
      <c r="A154" s="431"/>
      <c r="B154" s="435"/>
      <c r="C154" s="6"/>
      <c r="D154" s="6"/>
      <c r="E154" s="6"/>
      <c r="F154" s="14">
        <f t="shared" si="35"/>
        <v>0</v>
      </c>
      <c r="G154" s="8">
        <f t="shared" si="36"/>
        <v>0</v>
      </c>
      <c r="H154" s="8">
        <f t="shared" si="33"/>
        <v>0</v>
      </c>
      <c r="I154" s="9">
        <f t="shared" si="37"/>
        <v>50</v>
      </c>
      <c r="J154" s="122"/>
      <c r="K154" s="10">
        <f t="shared" si="34"/>
        <v>0</v>
      </c>
    </row>
    <row r="155" spans="1:11" x14ac:dyDescent="0.2">
      <c r="A155" s="431"/>
      <c r="B155" s="435"/>
      <c r="C155" s="6"/>
      <c r="D155" s="6"/>
      <c r="E155" s="6"/>
      <c r="F155" s="14">
        <f t="shared" si="35"/>
        <v>0</v>
      </c>
      <c r="G155" s="8">
        <f t="shared" si="36"/>
        <v>0</v>
      </c>
      <c r="H155" s="8">
        <f t="shared" si="33"/>
        <v>0</v>
      </c>
      <c r="I155" s="9">
        <f t="shared" si="37"/>
        <v>50</v>
      </c>
      <c r="J155" s="122"/>
      <c r="K155" s="10">
        <f t="shared" si="34"/>
        <v>0</v>
      </c>
    </row>
    <row r="156" spans="1:11" x14ac:dyDescent="0.2">
      <c r="A156" s="431"/>
      <c r="B156" s="435"/>
      <c r="C156" s="6"/>
      <c r="D156" s="6"/>
      <c r="E156" s="6"/>
      <c r="F156" s="14">
        <f t="shared" si="35"/>
        <v>0</v>
      </c>
      <c r="G156" s="8">
        <f t="shared" si="36"/>
        <v>0</v>
      </c>
      <c r="H156" s="8">
        <f t="shared" si="33"/>
        <v>0</v>
      </c>
      <c r="I156" s="9">
        <f t="shared" si="37"/>
        <v>50</v>
      </c>
      <c r="J156" s="122"/>
      <c r="K156" s="10">
        <f t="shared" si="34"/>
        <v>0</v>
      </c>
    </row>
    <row r="157" spans="1:11" x14ac:dyDescent="0.2">
      <c r="A157" s="431"/>
      <c r="B157" s="432"/>
      <c r="C157" s="6"/>
      <c r="D157" s="6"/>
      <c r="E157" s="6"/>
      <c r="F157" s="14">
        <f t="shared" si="35"/>
        <v>0</v>
      </c>
      <c r="G157" s="8">
        <f t="shared" si="36"/>
        <v>0</v>
      </c>
      <c r="H157" s="8">
        <f t="shared" si="33"/>
        <v>0</v>
      </c>
      <c r="I157" s="9">
        <f t="shared" si="37"/>
        <v>50</v>
      </c>
      <c r="J157" s="122"/>
      <c r="K157" s="10">
        <f t="shared" si="34"/>
        <v>0</v>
      </c>
    </row>
    <row r="158" spans="1:11" x14ac:dyDescent="0.2">
      <c r="A158" s="431"/>
      <c r="B158" s="435"/>
      <c r="C158" s="6"/>
      <c r="D158" s="6"/>
      <c r="E158" s="6"/>
      <c r="F158" s="14">
        <f t="shared" si="35"/>
        <v>0</v>
      </c>
      <c r="G158" s="8">
        <f t="shared" si="36"/>
        <v>0</v>
      </c>
      <c r="H158" s="8">
        <f t="shared" si="33"/>
        <v>0</v>
      </c>
      <c r="I158" s="9">
        <f t="shared" si="37"/>
        <v>50</v>
      </c>
      <c r="J158" s="122"/>
      <c r="K158" s="10">
        <f t="shared" si="34"/>
        <v>0</v>
      </c>
    </row>
    <row r="159" spans="1:11" x14ac:dyDescent="0.2">
      <c r="A159" s="431"/>
      <c r="B159" s="435"/>
      <c r="C159" s="6"/>
      <c r="D159" s="6"/>
      <c r="E159" s="6"/>
      <c r="F159" s="14">
        <f t="shared" si="35"/>
        <v>0</v>
      </c>
      <c r="G159" s="8">
        <f t="shared" si="36"/>
        <v>0</v>
      </c>
      <c r="H159" s="8">
        <f t="shared" si="33"/>
        <v>0</v>
      </c>
      <c r="I159" s="9">
        <f t="shared" si="37"/>
        <v>50</v>
      </c>
      <c r="J159" s="122"/>
      <c r="K159" s="10">
        <f t="shared" si="34"/>
        <v>0</v>
      </c>
    </row>
    <row r="160" spans="1:11" x14ac:dyDescent="0.2">
      <c r="A160" s="731" t="s">
        <v>18</v>
      </c>
      <c r="B160" s="732"/>
      <c r="C160" s="272">
        <f>SUM(C152:C159)</f>
        <v>0</v>
      </c>
      <c r="D160" s="273">
        <f>SUM(D152:D159)</f>
        <v>0</v>
      </c>
      <c r="E160" s="273"/>
      <c r="F160" s="218">
        <f>SUM(F152:F159)</f>
        <v>0</v>
      </c>
      <c r="G160" s="79">
        <f>SUM(G152:G159)</f>
        <v>0</v>
      </c>
      <c r="H160" s="50">
        <f>SUM(H152:H159)</f>
        <v>0</v>
      </c>
      <c r="I160" s="49">
        <f>I148-H160</f>
        <v>50</v>
      </c>
      <c r="J160" s="121"/>
      <c r="K160" s="4"/>
    </row>
    <row r="161" spans="1:11" x14ac:dyDescent="0.2">
      <c r="A161" s="4"/>
      <c r="B161" s="121"/>
      <c r="C161" s="7"/>
      <c r="D161" s="8"/>
      <c r="E161" s="8"/>
      <c r="F161" s="14"/>
      <c r="G161" s="56" t="s">
        <v>46</v>
      </c>
      <c r="H161" s="62">
        <f>H160/I148%</f>
        <v>0</v>
      </c>
      <c r="I161" s="246">
        <f>I160/I148%</f>
        <v>100</v>
      </c>
      <c r="J161" s="121"/>
      <c r="K161" s="4"/>
    </row>
    <row r="162" spans="1:11" x14ac:dyDescent="0.2">
      <c r="A162" s="26"/>
      <c r="B162" s="131"/>
      <c r="C162" s="353"/>
      <c r="D162" s="354"/>
      <c r="E162" s="354"/>
      <c r="F162" s="355"/>
      <c r="G162" s="100"/>
      <c r="H162" s="101"/>
      <c r="I162" s="109"/>
      <c r="J162" s="356"/>
      <c r="K162" s="26"/>
    </row>
    <row r="163" spans="1:11" x14ac:dyDescent="0.2">
      <c r="A163" s="789" t="s">
        <v>282</v>
      </c>
      <c r="B163" s="789"/>
      <c r="C163" s="789"/>
      <c r="D163" s="789"/>
      <c r="E163" s="789"/>
      <c r="F163" s="789"/>
      <c r="G163" s="100">
        <f>I148+I127+I109+I97+I85+I66+I35+I15+I4</f>
        <v>5375</v>
      </c>
      <c r="H163" s="101"/>
      <c r="I163" s="109"/>
      <c r="J163" s="356"/>
      <c r="K163" s="26"/>
    </row>
    <row r="165" spans="1:11" x14ac:dyDescent="0.2">
      <c r="A165" s="784" t="s">
        <v>125</v>
      </c>
      <c r="B165" s="784"/>
      <c r="C165" s="784"/>
      <c r="D165" s="784"/>
      <c r="E165" s="784"/>
      <c r="F165" s="77">
        <f>H160+H143+H122+H105+H93+H80+H61+H30+H11</f>
        <v>585</v>
      </c>
    </row>
    <row r="166" spans="1:11" x14ac:dyDescent="0.2">
      <c r="F166" s="32"/>
      <c r="J166" s="434"/>
      <c r="K166" s="436"/>
    </row>
    <row r="167" spans="1:11" x14ac:dyDescent="0.2">
      <c r="A167" s="352" t="s">
        <v>127</v>
      </c>
      <c r="B167" s="352"/>
      <c r="C167" s="352"/>
      <c r="D167" s="352"/>
      <c r="E167" s="288"/>
      <c r="F167" s="60">
        <f>G163-F165</f>
        <v>4790</v>
      </c>
      <c r="J167" s="434"/>
      <c r="K167" s="436"/>
    </row>
    <row r="168" spans="1:11" x14ac:dyDescent="0.2">
      <c r="F168" s="32"/>
    </row>
    <row r="169" spans="1:11" x14ac:dyDescent="0.2">
      <c r="A169" s="748" t="s">
        <v>50</v>
      </c>
      <c r="B169" s="748"/>
      <c r="C169" s="748"/>
      <c r="D169" s="748"/>
      <c r="E169" s="68"/>
      <c r="F169" s="61">
        <f>F165/G163%</f>
        <v>10.883720930232558</v>
      </c>
    </row>
    <row r="170" spans="1:11" x14ac:dyDescent="0.2">
      <c r="A170" s="73"/>
      <c r="B170" s="127"/>
      <c r="C170" s="73"/>
      <c r="D170" s="73"/>
      <c r="E170" s="73"/>
      <c r="F170" s="66"/>
    </row>
    <row r="171" spans="1:11" x14ac:dyDescent="0.2">
      <c r="A171" s="68" t="s">
        <v>51</v>
      </c>
      <c r="B171" s="128"/>
      <c r="C171" s="68"/>
      <c r="D171" s="68"/>
      <c r="E171" s="68"/>
      <c r="F171" s="619">
        <f>F167/G163%</f>
        <v>89.116279069767444</v>
      </c>
      <c r="G171" s="620"/>
    </row>
    <row r="173" spans="1:11" x14ac:dyDescent="0.2">
      <c r="A173" s="75" t="s">
        <v>53</v>
      </c>
      <c r="B173" s="133"/>
      <c r="C173" s="75"/>
      <c r="D173" s="75"/>
      <c r="E173" s="75"/>
      <c r="F173" s="621">
        <f>F160+F143+F122+F105+F93+F80+F61+F30+F11</f>
        <v>8370</v>
      </c>
      <c r="G173" s="358"/>
    </row>
    <row r="175" spans="1:11" x14ac:dyDescent="0.2">
      <c r="A175" s="791" t="s">
        <v>117</v>
      </c>
      <c r="B175" s="791"/>
      <c r="C175" s="791"/>
      <c r="D175" s="791"/>
      <c r="E175" s="791"/>
      <c r="F175" s="791"/>
      <c r="G175" s="792">
        <f>G160+G143+G122+G105+G93+G80+G61+G30+G11</f>
        <v>711873636</v>
      </c>
      <c r="H175" s="792"/>
    </row>
  </sheetData>
  <mergeCells count="83">
    <mergeCell ref="A175:F175"/>
    <mergeCell ref="G175:H175"/>
    <mergeCell ref="A11:B11"/>
    <mergeCell ref="B3:H3"/>
    <mergeCell ref="J3:K4"/>
    <mergeCell ref="B4:H4"/>
    <mergeCell ref="A5:A6"/>
    <mergeCell ref="B5:B6"/>
    <mergeCell ref="C5:E5"/>
    <mergeCell ref="F5:H5"/>
    <mergeCell ref="J5:J6"/>
    <mergeCell ref="A1:K1"/>
    <mergeCell ref="A2:K2"/>
    <mergeCell ref="J108:K109"/>
    <mergeCell ref="J110:J111"/>
    <mergeCell ref="J84:K85"/>
    <mergeCell ref="A80:B80"/>
    <mergeCell ref="B84:H84"/>
    <mergeCell ref="C67:E67"/>
    <mergeCell ref="A93:B93"/>
    <mergeCell ref="A169:D169"/>
    <mergeCell ref="A143:B143"/>
    <mergeCell ref="A165:E165"/>
    <mergeCell ref="B128:B129"/>
    <mergeCell ref="B149:B150"/>
    <mergeCell ref="C149:E149"/>
    <mergeCell ref="A128:A129"/>
    <mergeCell ref="A160:B160"/>
    <mergeCell ref="B147:H147"/>
    <mergeCell ref="A163:F163"/>
    <mergeCell ref="J65:K66"/>
    <mergeCell ref="A36:A37"/>
    <mergeCell ref="J67:J68"/>
    <mergeCell ref="A122:B122"/>
    <mergeCell ref="B126:H126"/>
    <mergeCell ref="C128:E128"/>
    <mergeCell ref="A105:B105"/>
    <mergeCell ref="J128:J129"/>
    <mergeCell ref="J126:K127"/>
    <mergeCell ref="A67:A68"/>
    <mergeCell ref="A61:B61"/>
    <mergeCell ref="A16:A17"/>
    <mergeCell ref="B66:H66"/>
    <mergeCell ref="A30:B30"/>
    <mergeCell ref="B65:H65"/>
    <mergeCell ref="B36:B37"/>
    <mergeCell ref="B34:H34"/>
    <mergeCell ref="F36:H36"/>
    <mergeCell ref="B35:H35"/>
    <mergeCell ref="B14:H14"/>
    <mergeCell ref="C16:E16"/>
    <mergeCell ref="B16:B17"/>
    <mergeCell ref="J14:K15"/>
    <mergeCell ref="J16:J17"/>
    <mergeCell ref="J36:J37"/>
    <mergeCell ref="B15:H15"/>
    <mergeCell ref="F16:H16"/>
    <mergeCell ref="C36:E36"/>
    <mergeCell ref="J34:K35"/>
    <mergeCell ref="F67:H67"/>
    <mergeCell ref="J147:K148"/>
    <mergeCell ref="B148:H148"/>
    <mergeCell ref="B67:B68"/>
    <mergeCell ref="B110:B111"/>
    <mergeCell ref="F110:H110"/>
    <mergeCell ref="B109:H109"/>
    <mergeCell ref="B127:H127"/>
    <mergeCell ref="A149:A150"/>
    <mergeCell ref="B96:H96"/>
    <mergeCell ref="J96:K97"/>
    <mergeCell ref="B97:H97"/>
    <mergeCell ref="B85:H85"/>
    <mergeCell ref="C110:E110"/>
    <mergeCell ref="F128:H128"/>
    <mergeCell ref="A110:A111"/>
    <mergeCell ref="F149:H149"/>
    <mergeCell ref="J149:J150"/>
    <mergeCell ref="A98:A99"/>
    <mergeCell ref="B98:B99"/>
    <mergeCell ref="C98:E98"/>
    <mergeCell ref="F98:H98"/>
    <mergeCell ref="J98:J99"/>
    <mergeCell ref="B108:H108"/>
  </mergeCells>
  <phoneticPr fontId="0" type="noConversion"/>
  <pageMargins left="0.51181102362204722" right="0" top="0.27559055118110237" bottom="0.19685039370078741" header="0.31496062992125984" footer="0.31496062992125984"/>
  <pageSetup paperSize="5" orientation="portrait" horizontalDpi="180" verticalDpi="18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5D33C-7641-41E8-A1E5-FE2F65156C3A}">
  <dimension ref="A1:O60"/>
  <sheetViews>
    <sheetView topLeftCell="A10" workbookViewId="0">
      <selection activeCell="G19" sqref="G19"/>
    </sheetView>
  </sheetViews>
  <sheetFormatPr defaultRowHeight="12.75" x14ac:dyDescent="0.2"/>
  <cols>
    <col min="1" max="1" width="8.85546875" customWidth="1"/>
    <col min="2" max="2" width="10" style="123" customWidth="1"/>
    <col min="3" max="3" width="11.28515625" customWidth="1"/>
    <col min="5" max="5" width="12.5703125" customWidth="1"/>
    <col min="6" max="6" width="8.140625" customWidth="1"/>
    <col min="8" max="8" width="9.7109375" style="123" customWidth="1"/>
    <col min="9" max="9" width="8.5703125" customWidth="1"/>
    <col min="10" max="10" width="14" style="71" customWidth="1"/>
    <col min="11" max="11" width="10.7109375" style="71" customWidth="1"/>
    <col min="12" max="12" width="9.140625" style="282"/>
    <col min="13" max="13" width="9.140625" style="71"/>
  </cols>
  <sheetData>
    <row r="1" spans="1:15" ht="18" x14ac:dyDescent="0.25">
      <c r="A1" s="835" t="s">
        <v>232</v>
      </c>
      <c r="B1" s="835"/>
      <c r="C1" s="835"/>
      <c r="D1" s="835"/>
      <c r="E1" s="835"/>
      <c r="F1" s="835"/>
      <c r="G1" s="835"/>
      <c r="H1" s="835"/>
      <c r="I1" s="835"/>
      <c r="J1" s="835"/>
      <c r="K1" s="835"/>
      <c r="L1" s="835"/>
      <c r="N1" s="282"/>
      <c r="O1" s="71"/>
    </row>
    <row r="2" spans="1:15" ht="26.25" x14ac:dyDescent="0.2">
      <c r="A2" s="794" t="str">
        <f>GDSL!A2</f>
        <v>TAHUN 2026</v>
      </c>
      <c r="B2" s="794"/>
      <c r="C2" s="794"/>
      <c r="D2" s="794"/>
      <c r="E2" s="794"/>
      <c r="F2" s="794"/>
      <c r="G2" s="794"/>
      <c r="H2" s="794"/>
      <c r="I2" s="794"/>
      <c r="J2" s="794"/>
      <c r="K2" s="794"/>
      <c r="L2" s="71"/>
      <c r="N2" s="282"/>
      <c r="O2" s="71"/>
    </row>
    <row r="3" spans="1:15" ht="15" x14ac:dyDescent="0.25">
      <c r="A3" s="93" t="s">
        <v>0</v>
      </c>
      <c r="B3" s="832" t="s">
        <v>36</v>
      </c>
      <c r="C3" s="832"/>
      <c r="D3" s="832"/>
      <c r="E3" s="832"/>
      <c r="F3" s="832"/>
      <c r="G3" s="70" t="s">
        <v>11</v>
      </c>
      <c r="H3" s="851" t="s">
        <v>15</v>
      </c>
      <c r="I3" s="851"/>
      <c r="J3" s="705">
        <v>46077</v>
      </c>
      <c r="K3" s="706"/>
    </row>
    <row r="4" spans="1:15" ht="14.25" x14ac:dyDescent="0.2">
      <c r="A4" s="94" t="s">
        <v>1</v>
      </c>
      <c r="B4" s="850" t="s">
        <v>195</v>
      </c>
      <c r="C4" s="850"/>
      <c r="D4" s="850"/>
      <c r="E4" s="850"/>
      <c r="F4" s="850"/>
      <c r="G4" s="69">
        <v>100</v>
      </c>
      <c r="H4" s="851"/>
      <c r="I4" s="851"/>
    </row>
    <row r="5" spans="1:15" x14ac:dyDescent="0.2">
      <c r="A5" s="726" t="s">
        <v>3</v>
      </c>
      <c r="B5" s="834" t="s">
        <v>2</v>
      </c>
      <c r="C5" s="10" t="s">
        <v>19</v>
      </c>
      <c r="D5" s="10" t="s">
        <v>31</v>
      </c>
      <c r="E5" s="807" t="s">
        <v>24</v>
      </c>
      <c r="F5" s="846"/>
      <c r="G5" s="84" t="s">
        <v>12</v>
      </c>
      <c r="H5" s="726" t="s">
        <v>3</v>
      </c>
      <c r="I5" s="4" t="s">
        <v>13</v>
      </c>
    </row>
    <row r="6" spans="1:15" x14ac:dyDescent="0.2">
      <c r="A6" s="726"/>
      <c r="B6" s="834"/>
      <c r="C6" s="4" t="s">
        <v>39</v>
      </c>
      <c r="D6" s="4" t="s">
        <v>9</v>
      </c>
      <c r="E6" s="80" t="s">
        <v>32</v>
      </c>
      <c r="F6" s="67" t="s">
        <v>33</v>
      </c>
      <c r="G6" s="67" t="s">
        <v>33</v>
      </c>
      <c r="H6" s="726"/>
      <c r="I6" s="4" t="s">
        <v>14</v>
      </c>
    </row>
    <row r="7" spans="1:15" x14ac:dyDescent="0.2">
      <c r="A7" s="401" t="s">
        <v>182</v>
      </c>
      <c r="B7" s="402">
        <v>45931</v>
      </c>
      <c r="C7" s="482">
        <v>777000</v>
      </c>
      <c r="D7" s="403">
        <v>10</v>
      </c>
      <c r="E7" s="4"/>
      <c r="F7" s="4"/>
      <c r="G7" s="12"/>
      <c r="H7" s="122"/>
      <c r="I7" s="4"/>
    </row>
    <row r="8" spans="1:15" x14ac:dyDescent="0.2">
      <c r="A8" s="431">
        <v>46048</v>
      </c>
      <c r="B8" s="435">
        <v>24328</v>
      </c>
      <c r="C8" s="6">
        <v>35</v>
      </c>
      <c r="D8" s="668">
        <f t="shared" ref="D8:D13" si="0">(C8*10 )</f>
        <v>350</v>
      </c>
      <c r="E8" s="8">
        <f t="shared" ref="E8:E13" si="1">(C8*C$7)</f>
        <v>27195000</v>
      </c>
      <c r="F8" s="6">
        <f t="shared" ref="F8:F13" si="2">C8</f>
        <v>35</v>
      </c>
      <c r="G8" s="9">
        <f>G4-F8</f>
        <v>65</v>
      </c>
      <c r="H8" s="122">
        <f>'[1]Area I '!$D$13</f>
        <v>46083</v>
      </c>
      <c r="I8" s="15">
        <f t="shared" ref="I8:I13" si="3">H8-A8</f>
        <v>35</v>
      </c>
      <c r="J8" s="855"/>
      <c r="K8" s="856"/>
    </row>
    <row r="9" spans="1:15" x14ac:dyDescent="0.2">
      <c r="A9" s="431"/>
      <c r="B9" s="437"/>
      <c r="C9" s="6"/>
      <c r="D9" s="668">
        <f t="shared" si="0"/>
        <v>0</v>
      </c>
      <c r="E9" s="8">
        <f t="shared" si="1"/>
        <v>0</v>
      </c>
      <c r="F9" s="6">
        <f t="shared" si="2"/>
        <v>0</v>
      </c>
      <c r="G9" s="9">
        <f>G8-F9</f>
        <v>65</v>
      </c>
      <c r="H9" s="122"/>
      <c r="I9" s="15">
        <f t="shared" si="3"/>
        <v>0</v>
      </c>
      <c r="J9" s="650"/>
      <c r="K9" s="710"/>
    </row>
    <row r="10" spans="1:15" x14ac:dyDescent="0.2">
      <c r="A10" s="431"/>
      <c r="B10" s="433"/>
      <c r="C10" s="6"/>
      <c r="D10" s="668">
        <f t="shared" si="0"/>
        <v>0</v>
      </c>
      <c r="E10" s="8">
        <f t="shared" si="1"/>
        <v>0</v>
      </c>
      <c r="F10" s="6">
        <f t="shared" si="2"/>
        <v>0</v>
      </c>
      <c r="G10" s="9">
        <f>G9-F10</f>
        <v>65</v>
      </c>
      <c r="H10" s="122"/>
      <c r="I10" s="15">
        <f t="shared" si="3"/>
        <v>0</v>
      </c>
    </row>
    <row r="11" spans="1:15" x14ac:dyDescent="0.2">
      <c r="A11" s="431"/>
      <c r="B11" s="432"/>
      <c r="C11" s="6"/>
      <c r="D11" s="668">
        <f t="shared" si="0"/>
        <v>0</v>
      </c>
      <c r="E11" s="8">
        <f t="shared" si="1"/>
        <v>0</v>
      </c>
      <c r="F11" s="6">
        <f t="shared" si="2"/>
        <v>0</v>
      </c>
      <c r="G11" s="9">
        <f>G10-F11</f>
        <v>65</v>
      </c>
      <c r="H11" s="122"/>
      <c r="I11" s="15">
        <f t="shared" si="3"/>
        <v>0</v>
      </c>
    </row>
    <row r="12" spans="1:15" x14ac:dyDescent="0.2">
      <c r="A12" s="431"/>
      <c r="B12" s="651"/>
      <c r="C12" s="283"/>
      <c r="D12" s="668">
        <f t="shared" si="0"/>
        <v>0</v>
      </c>
      <c r="E12" s="8">
        <f t="shared" si="1"/>
        <v>0</v>
      </c>
      <c r="F12" s="283">
        <f t="shared" si="2"/>
        <v>0</v>
      </c>
      <c r="G12" s="614">
        <f>G11-F12</f>
        <v>65</v>
      </c>
      <c r="H12" s="258"/>
      <c r="I12" s="15">
        <f t="shared" si="3"/>
        <v>0</v>
      </c>
    </row>
    <row r="13" spans="1:15" x14ac:dyDescent="0.2">
      <c r="A13" s="431"/>
      <c r="B13" s="433"/>
      <c r="C13" s="6"/>
      <c r="D13" s="610">
        <f t="shared" si="0"/>
        <v>0</v>
      </c>
      <c r="E13" s="8">
        <f t="shared" si="1"/>
        <v>0</v>
      </c>
      <c r="F13" s="6">
        <f t="shared" si="2"/>
        <v>0</v>
      </c>
      <c r="G13" s="13">
        <f>G12-F13</f>
        <v>65</v>
      </c>
      <c r="H13" s="122"/>
      <c r="I13" s="15">
        <f t="shared" si="3"/>
        <v>0</v>
      </c>
    </row>
    <row r="14" spans="1:15" x14ac:dyDescent="0.2">
      <c r="A14" s="731" t="s">
        <v>18</v>
      </c>
      <c r="B14" s="732"/>
      <c r="C14" s="272">
        <f>SUM(C8:C13)</f>
        <v>35</v>
      </c>
      <c r="D14" s="404">
        <f>SUM(D8:D13)</f>
        <v>350</v>
      </c>
      <c r="E14" s="79">
        <f>SUM(E8:E13)</f>
        <v>27195000</v>
      </c>
      <c r="F14" s="83">
        <f>SUM(F8:F13)</f>
        <v>35</v>
      </c>
      <c r="G14" s="49">
        <f>G4-F14</f>
        <v>65</v>
      </c>
      <c r="H14" s="121"/>
      <c r="I14" s="22"/>
    </row>
    <row r="15" spans="1:15" x14ac:dyDescent="0.2">
      <c r="A15" s="4"/>
      <c r="B15" s="121"/>
      <c r="C15" s="7"/>
      <c r="D15" s="8"/>
      <c r="E15" s="57" t="s">
        <v>46</v>
      </c>
      <c r="F15" s="51">
        <f>F14/G4%</f>
        <v>35</v>
      </c>
      <c r="G15" s="53">
        <f>G14/G4%</f>
        <v>65</v>
      </c>
      <c r="H15" s="121"/>
      <c r="I15" s="22"/>
    </row>
    <row r="17" spans="1:12" x14ac:dyDescent="0.2">
      <c r="A17" s="16"/>
      <c r="B17" s="125"/>
      <c r="C17" s="17"/>
      <c r="D17" s="18"/>
      <c r="E17" s="18"/>
      <c r="F17" s="17"/>
      <c r="G17" s="19"/>
      <c r="H17" s="125"/>
      <c r="I17" s="30"/>
    </row>
    <row r="18" spans="1:12" ht="15" x14ac:dyDescent="0.25">
      <c r="A18" s="93" t="s">
        <v>0</v>
      </c>
      <c r="B18" s="760" t="s">
        <v>36</v>
      </c>
      <c r="C18" s="761"/>
      <c r="D18" s="761"/>
      <c r="E18" s="761"/>
      <c r="F18" s="762"/>
      <c r="G18" s="70" t="s">
        <v>11</v>
      </c>
      <c r="H18" s="766" t="s">
        <v>15</v>
      </c>
      <c r="I18" s="768"/>
      <c r="J18" s="705">
        <v>46062</v>
      </c>
      <c r="K18" s="706"/>
    </row>
    <row r="19" spans="1:12" ht="15" x14ac:dyDescent="0.25">
      <c r="A19" s="94" t="s">
        <v>1</v>
      </c>
      <c r="B19" s="736" t="s">
        <v>218</v>
      </c>
      <c r="C19" s="737"/>
      <c r="D19" s="737"/>
      <c r="E19" s="737"/>
      <c r="F19" s="738"/>
      <c r="G19" s="148">
        <v>100</v>
      </c>
      <c r="H19" s="769"/>
      <c r="I19" s="771"/>
    </row>
    <row r="20" spans="1:12" x14ac:dyDescent="0.2">
      <c r="A20" s="801" t="s">
        <v>3</v>
      </c>
      <c r="B20" s="820" t="s">
        <v>2</v>
      </c>
      <c r="C20" s="10" t="s">
        <v>19</v>
      </c>
      <c r="D20" s="10" t="s">
        <v>31</v>
      </c>
      <c r="E20" s="807" t="s">
        <v>24</v>
      </c>
      <c r="F20" s="847"/>
      <c r="G20" s="84" t="s">
        <v>12</v>
      </c>
      <c r="H20" s="801" t="s">
        <v>3</v>
      </c>
      <c r="I20" s="4" t="s">
        <v>13</v>
      </c>
    </row>
    <row r="21" spans="1:12" x14ac:dyDescent="0.2">
      <c r="A21" s="802"/>
      <c r="B21" s="821"/>
      <c r="C21" s="4" t="s">
        <v>38</v>
      </c>
      <c r="D21" s="4" t="s">
        <v>9</v>
      </c>
      <c r="E21" s="80" t="s">
        <v>32</v>
      </c>
      <c r="F21" s="67" t="s">
        <v>33</v>
      </c>
      <c r="G21" s="67" t="s">
        <v>33</v>
      </c>
      <c r="H21" s="802"/>
      <c r="I21" s="4" t="s">
        <v>14</v>
      </c>
    </row>
    <row r="22" spans="1:12" x14ac:dyDescent="0.2">
      <c r="A22" s="401" t="s">
        <v>182</v>
      </c>
      <c r="B22" s="402">
        <v>45550</v>
      </c>
      <c r="C22" s="482">
        <v>735930</v>
      </c>
      <c r="D22" s="403">
        <v>10</v>
      </c>
      <c r="E22" s="4"/>
      <c r="F22" s="4"/>
      <c r="G22" s="12"/>
      <c r="H22" s="122"/>
      <c r="I22" s="4"/>
    </row>
    <row r="23" spans="1:12" x14ac:dyDescent="0.2">
      <c r="A23" s="431"/>
      <c r="B23" s="435"/>
      <c r="C23" s="6"/>
      <c r="D23" s="610"/>
      <c r="E23" s="8">
        <f>(C23*C$22)</f>
        <v>0</v>
      </c>
      <c r="F23" s="6">
        <f>C23</f>
        <v>0</v>
      </c>
      <c r="G23" s="9">
        <f>G19-F23</f>
        <v>100</v>
      </c>
      <c r="H23" s="122"/>
      <c r="I23" s="656">
        <f>H23-A23</f>
        <v>0</v>
      </c>
    </row>
    <row r="24" spans="1:12" x14ac:dyDescent="0.2">
      <c r="A24" s="431"/>
      <c r="B24" s="435"/>
      <c r="C24" s="6"/>
      <c r="D24" s="610"/>
      <c r="E24" s="8">
        <f>(C24*C$22)</f>
        <v>0</v>
      </c>
      <c r="F24" s="6">
        <f>C24</f>
        <v>0</v>
      </c>
      <c r="G24" s="9">
        <f ca="1">G23-G24</f>
        <v>0</v>
      </c>
      <c r="H24" s="122"/>
      <c r="I24" s="656">
        <f>H24-A24</f>
        <v>0</v>
      </c>
    </row>
    <row r="25" spans="1:12" x14ac:dyDescent="0.2">
      <c r="A25" s="431"/>
      <c r="B25" s="435"/>
      <c r="C25" s="6"/>
      <c r="D25" s="610">
        <f>(C25*10 )</f>
        <v>0</v>
      </c>
      <c r="E25" s="8">
        <f>(C25*C$22)</f>
        <v>0</v>
      </c>
      <c r="F25" s="6">
        <f>C25</f>
        <v>0</v>
      </c>
      <c r="G25" s="9">
        <f ca="1">G24-G25</f>
        <v>0</v>
      </c>
      <c r="H25" s="122"/>
      <c r="I25" s="15">
        <f>H25-A25</f>
        <v>0</v>
      </c>
    </row>
    <row r="26" spans="1:12" x14ac:dyDescent="0.2">
      <c r="A26" s="431"/>
      <c r="B26" s="435"/>
      <c r="C26" s="6"/>
      <c r="D26" s="610">
        <f>(C26*10 )</f>
        <v>0</v>
      </c>
      <c r="E26" s="8">
        <f>(C26*C$22)</f>
        <v>0</v>
      </c>
      <c r="F26" s="6">
        <f>C26</f>
        <v>0</v>
      </c>
      <c r="G26" s="9">
        <f ca="1">G25-G26</f>
        <v>0</v>
      </c>
      <c r="H26" s="122"/>
      <c r="I26" s="15">
        <f>H26-A26</f>
        <v>0</v>
      </c>
    </row>
    <row r="27" spans="1:12" ht="14.25" x14ac:dyDescent="0.2">
      <c r="A27" s="731" t="s">
        <v>18</v>
      </c>
      <c r="B27" s="732"/>
      <c r="C27" s="272">
        <f>SUM(C23:C23)</f>
        <v>0</v>
      </c>
      <c r="D27" s="404">
        <f>SUM(D23:D26)</f>
        <v>0</v>
      </c>
      <c r="E27" s="79">
        <f>SUM(E23:E23)</f>
        <v>0</v>
      </c>
      <c r="F27" s="83">
        <f>SUM(F23:F23)</f>
        <v>0</v>
      </c>
      <c r="G27" s="49">
        <f>G19-F27</f>
        <v>100</v>
      </c>
      <c r="H27" s="121"/>
      <c r="I27" s="22"/>
      <c r="J27" s="398"/>
    </row>
    <row r="28" spans="1:12" ht="14.25" x14ac:dyDescent="0.2">
      <c r="A28" s="4"/>
      <c r="B28" s="121"/>
      <c r="C28" s="7"/>
      <c r="D28" s="8"/>
      <c r="E28" s="57" t="s">
        <v>46</v>
      </c>
      <c r="F28" s="51">
        <f>F27/G19%</f>
        <v>0</v>
      </c>
      <c r="G28" s="53">
        <f>G27/G19%</f>
        <v>100</v>
      </c>
      <c r="H28" s="121"/>
      <c r="I28" s="22"/>
      <c r="J28" s="398"/>
    </row>
    <row r="29" spans="1:12" ht="14.25" x14ac:dyDescent="0.2">
      <c r="A29" s="16"/>
      <c r="B29" s="125"/>
      <c r="C29" s="17"/>
      <c r="D29" s="18"/>
      <c r="E29" s="18"/>
      <c r="F29" s="17"/>
      <c r="G29" s="19"/>
      <c r="H29" s="125"/>
      <c r="I29" s="30"/>
      <c r="J29" s="398"/>
    </row>
    <row r="30" spans="1:12" ht="14.25" x14ac:dyDescent="0.2">
      <c r="A30" s="16"/>
      <c r="B30" s="125"/>
      <c r="C30" s="17"/>
      <c r="D30" s="18"/>
      <c r="E30" s="18"/>
      <c r="F30" s="17"/>
      <c r="G30" s="19"/>
      <c r="H30" s="125"/>
      <c r="I30" s="30"/>
      <c r="J30" s="398"/>
    </row>
    <row r="31" spans="1:12" ht="15" x14ac:dyDescent="0.25">
      <c r="A31" s="93" t="s">
        <v>0</v>
      </c>
      <c r="B31" s="760" t="s">
        <v>36</v>
      </c>
      <c r="C31" s="761"/>
      <c r="D31" s="761"/>
      <c r="E31" s="761"/>
      <c r="F31" s="762"/>
      <c r="G31" s="70" t="s">
        <v>11</v>
      </c>
      <c r="H31" s="766" t="s">
        <v>15</v>
      </c>
      <c r="I31" s="768"/>
      <c r="J31" s="852"/>
      <c r="K31" s="852"/>
      <c r="L31" s="852"/>
    </row>
    <row r="32" spans="1:12" ht="14.25" x14ac:dyDescent="0.2">
      <c r="A32" s="94" t="s">
        <v>1</v>
      </c>
      <c r="B32" s="850" t="s">
        <v>270</v>
      </c>
      <c r="C32" s="850"/>
      <c r="D32" s="850"/>
      <c r="E32" s="850"/>
      <c r="F32" s="850"/>
      <c r="G32" s="69">
        <v>100</v>
      </c>
      <c r="H32" s="769"/>
      <c r="I32" s="771"/>
      <c r="J32" s="853"/>
      <c r="K32" s="853"/>
      <c r="L32" s="853"/>
    </row>
    <row r="33" spans="1:12" x14ac:dyDescent="0.2">
      <c r="A33" s="801" t="s">
        <v>3</v>
      </c>
      <c r="B33" s="820"/>
      <c r="C33" s="10" t="s">
        <v>19</v>
      </c>
      <c r="D33" s="10" t="s">
        <v>31</v>
      </c>
      <c r="E33" s="807" t="s">
        <v>24</v>
      </c>
      <c r="F33" s="847"/>
      <c r="G33" s="84" t="s">
        <v>12</v>
      </c>
      <c r="H33" s="801" t="s">
        <v>3</v>
      </c>
      <c r="I33" s="4" t="s">
        <v>13</v>
      </c>
      <c r="J33" s="854"/>
      <c r="K33" s="854"/>
      <c r="L33" s="854"/>
    </row>
    <row r="34" spans="1:12" ht="14.25" x14ac:dyDescent="0.2">
      <c r="A34" s="802"/>
      <c r="B34" s="821"/>
      <c r="C34" s="4" t="s">
        <v>38</v>
      </c>
      <c r="D34" s="4" t="s">
        <v>9</v>
      </c>
      <c r="E34" s="80" t="s">
        <v>32</v>
      </c>
      <c r="F34" s="67" t="s">
        <v>33</v>
      </c>
      <c r="G34" s="67" t="s">
        <v>33</v>
      </c>
      <c r="H34" s="802"/>
      <c r="I34" s="4" t="s">
        <v>14</v>
      </c>
      <c r="J34" s="398"/>
    </row>
    <row r="35" spans="1:12" x14ac:dyDescent="0.2">
      <c r="A35" s="401" t="s">
        <v>182</v>
      </c>
      <c r="B35" s="402">
        <v>45550</v>
      </c>
      <c r="C35" s="482">
        <v>735930</v>
      </c>
      <c r="D35" s="403">
        <v>10</v>
      </c>
      <c r="E35" s="4"/>
      <c r="F35" s="4"/>
      <c r="G35" s="12"/>
      <c r="H35" s="122"/>
      <c r="I35" s="4"/>
    </row>
    <row r="36" spans="1:12" ht="14.25" x14ac:dyDescent="0.2">
      <c r="A36" s="431"/>
      <c r="B36" s="435"/>
      <c r="C36" s="6"/>
      <c r="D36" s="610">
        <f t="shared" ref="D36:D42" si="4">(C36*10 )</f>
        <v>0</v>
      </c>
      <c r="E36" s="8">
        <f>(C36*C$35)</f>
        <v>0</v>
      </c>
      <c r="F36" s="6">
        <f>C36</f>
        <v>0</v>
      </c>
      <c r="G36" s="9">
        <f>G32-F36</f>
        <v>100</v>
      </c>
      <c r="H36" s="122"/>
      <c r="I36" s="15">
        <f>H36-A36</f>
        <v>0</v>
      </c>
      <c r="J36" s="398"/>
    </row>
    <row r="37" spans="1:12" ht="14.25" x14ac:dyDescent="0.2">
      <c r="A37" s="431"/>
      <c r="B37" s="435"/>
      <c r="C37" s="6"/>
      <c r="D37" s="610">
        <f t="shared" si="4"/>
        <v>0</v>
      </c>
      <c r="E37" s="8">
        <f t="shared" ref="E37:E42" si="5">(C37*C$35)</f>
        <v>0</v>
      </c>
      <c r="F37" s="6">
        <f>C37</f>
        <v>0</v>
      </c>
      <c r="G37" s="9">
        <f ca="1">G36-G37</f>
        <v>0</v>
      </c>
      <c r="H37" s="122"/>
      <c r="I37" s="15">
        <f>H37-A37</f>
        <v>0</v>
      </c>
      <c r="J37" s="398"/>
    </row>
    <row r="38" spans="1:12" ht="14.25" x14ac:dyDescent="0.2">
      <c r="A38" s="431"/>
      <c r="B38" s="435"/>
      <c r="C38" s="6"/>
      <c r="D38" s="610">
        <f t="shared" si="4"/>
        <v>0</v>
      </c>
      <c r="E38" s="8">
        <f t="shared" si="5"/>
        <v>0</v>
      </c>
      <c r="F38" s="6">
        <f>C38</f>
        <v>0</v>
      </c>
      <c r="G38" s="9">
        <f ca="1">G37-G38</f>
        <v>0</v>
      </c>
      <c r="H38" s="122"/>
      <c r="I38" s="15">
        <f>H38-A38</f>
        <v>0</v>
      </c>
      <c r="J38" s="398"/>
    </row>
    <row r="39" spans="1:12" ht="14.25" x14ac:dyDescent="0.2">
      <c r="A39" s="431"/>
      <c r="B39" s="435"/>
      <c r="C39" s="6"/>
      <c r="D39" s="610">
        <f t="shared" si="4"/>
        <v>0</v>
      </c>
      <c r="E39" s="8">
        <f t="shared" si="5"/>
        <v>0</v>
      </c>
      <c r="F39" s="6">
        <f>C39</f>
        <v>0</v>
      </c>
      <c r="G39" s="9">
        <f ca="1">G38-G39</f>
        <v>0</v>
      </c>
      <c r="H39" s="122"/>
      <c r="I39" s="15">
        <f>H39-A39</f>
        <v>0</v>
      </c>
      <c r="J39" s="398"/>
    </row>
    <row r="40" spans="1:12" ht="14.25" x14ac:dyDescent="0.2">
      <c r="A40" s="431"/>
      <c r="B40" s="435"/>
      <c r="C40" s="6"/>
      <c r="D40" s="610">
        <f t="shared" si="4"/>
        <v>0</v>
      </c>
      <c r="E40" s="8">
        <f t="shared" si="5"/>
        <v>0</v>
      </c>
      <c r="F40" s="6">
        <f>C40</f>
        <v>0</v>
      </c>
      <c r="G40" s="9">
        <f ca="1">G39-G40</f>
        <v>0</v>
      </c>
      <c r="H40" s="122"/>
      <c r="I40" s="15">
        <f>H40-A40</f>
        <v>0</v>
      </c>
      <c r="J40" s="398"/>
    </row>
    <row r="41" spans="1:12" ht="14.25" x14ac:dyDescent="0.2">
      <c r="A41" s="431"/>
      <c r="B41" s="608"/>
      <c r="C41" s="6"/>
      <c r="D41" s="610">
        <f t="shared" si="4"/>
        <v>0</v>
      </c>
      <c r="E41" s="8">
        <f t="shared" si="5"/>
        <v>0</v>
      </c>
      <c r="F41" s="6"/>
      <c r="G41" s="9"/>
      <c r="H41" s="122"/>
      <c r="I41" s="15"/>
      <c r="J41" s="398"/>
    </row>
    <row r="42" spans="1:12" ht="14.25" x14ac:dyDescent="0.2">
      <c r="A42" s="431"/>
      <c r="B42" s="608"/>
      <c r="C42" s="6"/>
      <c r="D42" s="610">
        <f t="shared" si="4"/>
        <v>0</v>
      </c>
      <c r="E42" s="8">
        <f t="shared" si="5"/>
        <v>0</v>
      </c>
      <c r="F42" s="6"/>
      <c r="G42" s="9"/>
      <c r="H42" s="122"/>
      <c r="I42" s="15"/>
      <c r="J42" s="398"/>
    </row>
    <row r="43" spans="1:12" ht="14.25" x14ac:dyDescent="0.2">
      <c r="A43" s="731" t="s">
        <v>18</v>
      </c>
      <c r="B43" s="732"/>
      <c r="C43" s="272">
        <f>SUM(C36:C42)</f>
        <v>0</v>
      </c>
      <c r="D43" s="404">
        <f>SUM(D36:D42)</f>
        <v>0</v>
      </c>
      <c r="E43" s="79">
        <f>SUM(E36:E42)</f>
        <v>0</v>
      </c>
      <c r="F43" s="83">
        <f>SUM(F36:F42)</f>
        <v>0</v>
      </c>
      <c r="G43" s="49">
        <f>G32-F43</f>
        <v>100</v>
      </c>
      <c r="H43" s="121"/>
      <c r="I43" s="22"/>
      <c r="J43" s="398"/>
    </row>
    <row r="44" spans="1:12" ht="14.25" x14ac:dyDescent="0.2">
      <c r="A44" s="4"/>
      <c r="B44" s="121"/>
      <c r="C44" s="7"/>
      <c r="D44" s="8"/>
      <c r="E44" s="57" t="s">
        <v>46</v>
      </c>
      <c r="F44" s="51">
        <f>F43/G32%</f>
        <v>0</v>
      </c>
      <c r="G44" s="53">
        <f>G43/G32%</f>
        <v>100</v>
      </c>
      <c r="H44" s="121"/>
      <c r="I44" s="22"/>
      <c r="J44" s="398"/>
    </row>
    <row r="45" spans="1:12" ht="14.25" x14ac:dyDescent="0.2">
      <c r="A45" s="16"/>
      <c r="B45" s="125"/>
      <c r="C45" s="17"/>
      <c r="D45" s="18"/>
      <c r="E45" s="18"/>
      <c r="F45" s="17"/>
      <c r="G45" s="19"/>
      <c r="H45" s="125"/>
      <c r="I45" s="30"/>
      <c r="J45" s="398"/>
    </row>
    <row r="46" spans="1:12" ht="14.25" x14ac:dyDescent="0.2">
      <c r="A46" s="16"/>
      <c r="B46" s="125"/>
      <c r="C46" s="17"/>
      <c r="D46" s="18"/>
      <c r="E46" s="18"/>
      <c r="F46" s="17"/>
      <c r="G46" s="19"/>
      <c r="H46" s="125"/>
      <c r="I46" s="30"/>
      <c r="J46" s="398"/>
    </row>
    <row r="47" spans="1:12" ht="14.25" x14ac:dyDescent="0.2">
      <c r="J47" s="398"/>
    </row>
    <row r="48" spans="1:12" ht="14.25" x14ac:dyDescent="0.2">
      <c r="A48" s="789" t="s">
        <v>58</v>
      </c>
      <c r="B48" s="789"/>
      <c r="C48" s="789"/>
      <c r="D48" s="789"/>
      <c r="E48" s="789"/>
      <c r="F48" s="289">
        <f>G32+G19+G4</f>
        <v>300</v>
      </c>
      <c r="G48" s="290"/>
      <c r="J48" s="398"/>
    </row>
    <row r="49" spans="1:10" ht="14.25" x14ac:dyDescent="0.2">
      <c r="F49" s="32"/>
      <c r="J49" s="398"/>
    </row>
    <row r="50" spans="1:10" ht="14.25" x14ac:dyDescent="0.2">
      <c r="A50" s="784" t="s">
        <v>52</v>
      </c>
      <c r="B50" s="784"/>
      <c r="C50" s="784"/>
      <c r="D50" s="784"/>
      <c r="E50" s="784"/>
      <c r="F50" s="78">
        <f>F43+F27+F14</f>
        <v>35</v>
      </c>
      <c r="J50" s="398"/>
    </row>
    <row r="51" spans="1:10" ht="14.25" x14ac:dyDescent="0.2">
      <c r="F51" s="32"/>
      <c r="J51" s="398"/>
    </row>
    <row r="52" spans="1:10" ht="14.25" x14ac:dyDescent="0.2">
      <c r="A52" s="830" t="s">
        <v>113</v>
      </c>
      <c r="B52" s="830"/>
      <c r="C52" s="830"/>
      <c r="D52" s="830"/>
      <c r="E52" s="830"/>
      <c r="F52" s="60">
        <f>F48-F50</f>
        <v>265</v>
      </c>
      <c r="J52" s="398"/>
    </row>
    <row r="53" spans="1:10" x14ac:dyDescent="0.2">
      <c r="F53" s="32"/>
    </row>
    <row r="54" spans="1:10" x14ac:dyDescent="0.2">
      <c r="A54" s="748" t="s">
        <v>50</v>
      </c>
      <c r="B54" s="748"/>
      <c r="C54" s="748"/>
      <c r="D54" s="748"/>
      <c r="E54" s="748"/>
      <c r="F54" s="61">
        <f>F50/F48%</f>
        <v>11.666666666666666</v>
      </c>
    </row>
    <row r="55" spans="1:10" x14ac:dyDescent="0.2">
      <c r="A55" s="73"/>
      <c r="B55" s="127"/>
      <c r="C55" s="73"/>
      <c r="D55" s="73"/>
      <c r="E55" s="73"/>
      <c r="F55" s="66"/>
    </row>
    <row r="56" spans="1:10" x14ac:dyDescent="0.2">
      <c r="A56" s="68" t="s">
        <v>51</v>
      </c>
      <c r="B56" s="128"/>
      <c r="C56" s="68"/>
      <c r="D56" s="68"/>
      <c r="E56" s="68"/>
      <c r="F56" s="61">
        <f>F52/F48%</f>
        <v>88.333333333333329</v>
      </c>
    </row>
    <row r="58" spans="1:10" x14ac:dyDescent="0.2">
      <c r="A58" s="75" t="s">
        <v>54</v>
      </c>
      <c r="B58" s="133"/>
      <c r="C58" s="75"/>
      <c r="D58" s="75"/>
      <c r="E58" s="72"/>
      <c r="F58" s="76">
        <f>D43+D27+D14</f>
        <v>350</v>
      </c>
    </row>
    <row r="60" spans="1:10" x14ac:dyDescent="0.2">
      <c r="A60" s="791" t="s">
        <v>57</v>
      </c>
      <c r="B60" s="791"/>
      <c r="C60" s="791"/>
      <c r="D60" s="791"/>
      <c r="E60" s="791"/>
      <c r="F60" s="792">
        <f>E43+E27+E14</f>
        <v>27195000</v>
      </c>
      <c r="G60" s="792"/>
    </row>
  </sheetData>
  <mergeCells count="36">
    <mergeCell ref="J31:L31"/>
    <mergeCell ref="J32:L32"/>
    <mergeCell ref="J33:L33"/>
    <mergeCell ref="J8:K8"/>
    <mergeCell ref="A60:E60"/>
    <mergeCell ref="F60:G60"/>
    <mergeCell ref="A27:B27"/>
    <mergeCell ref="A54:E54"/>
    <mergeCell ref="A48:E48"/>
    <mergeCell ref="A52:E52"/>
    <mergeCell ref="A50:E50"/>
    <mergeCell ref="B31:F31"/>
    <mergeCell ref="H31:I32"/>
    <mergeCell ref="A1:L1"/>
    <mergeCell ref="A2:K2"/>
    <mergeCell ref="A5:A6"/>
    <mergeCell ref="H5:H6"/>
    <mergeCell ref="H20:H21"/>
    <mergeCell ref="H3:I4"/>
    <mergeCell ref="E20:F20"/>
    <mergeCell ref="H18:I19"/>
    <mergeCell ref="B3:F3"/>
    <mergeCell ref="E5:F5"/>
    <mergeCell ref="B5:B6"/>
    <mergeCell ref="A14:B14"/>
    <mergeCell ref="B4:F4"/>
    <mergeCell ref="H33:H34"/>
    <mergeCell ref="A43:B43"/>
    <mergeCell ref="A20:A21"/>
    <mergeCell ref="B20:B21"/>
    <mergeCell ref="B18:F18"/>
    <mergeCell ref="B19:F19"/>
    <mergeCell ref="B32:F32"/>
    <mergeCell ref="A33:A34"/>
    <mergeCell ref="B33:B34"/>
    <mergeCell ref="E33:F33"/>
  </mergeCells>
  <phoneticPr fontId="0" type="noConversion"/>
  <pageMargins left="1.1417322834645669" right="0" top="0.39370078740157483" bottom="0.19685039370078741" header="0.51181102362204722" footer="0.51181102362204722"/>
  <pageSetup paperSize="5" orientation="portrait" horizontalDpi="180" verticalDpi="18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484B2-20CE-4299-9C83-FC3844D97859}">
  <dimension ref="A1:L108"/>
  <sheetViews>
    <sheetView topLeftCell="A34" workbookViewId="0">
      <selection activeCell="I55" sqref="I55"/>
    </sheetView>
  </sheetViews>
  <sheetFormatPr defaultRowHeight="12.75" x14ac:dyDescent="0.2"/>
  <cols>
    <col min="1" max="1" width="8.7109375" customWidth="1"/>
    <col min="2" max="2" width="7.85546875" style="123" customWidth="1"/>
    <col min="3" max="4" width="9.28515625" customWidth="1"/>
    <col min="5" max="5" width="8.7109375" customWidth="1"/>
    <col min="6" max="6" width="8.85546875" customWidth="1"/>
    <col min="7" max="7" width="12.5703125" customWidth="1"/>
    <col min="8" max="8" width="9.5703125" customWidth="1"/>
    <col min="9" max="9" width="9.28515625" style="123" customWidth="1"/>
    <col min="10" max="10" width="8" customWidth="1"/>
    <col min="11" max="11" width="14.7109375" style="71" customWidth="1"/>
  </cols>
  <sheetData>
    <row r="1" spans="1:12" ht="18" x14ac:dyDescent="0.25">
      <c r="A1" s="788" t="s">
        <v>232</v>
      </c>
      <c r="B1" s="788"/>
      <c r="C1" s="788"/>
      <c r="D1" s="788"/>
      <c r="E1" s="788"/>
      <c r="F1" s="788"/>
      <c r="G1" s="788"/>
      <c r="H1" s="788"/>
      <c r="I1" s="788"/>
      <c r="J1" s="788"/>
      <c r="K1" s="282"/>
      <c r="L1" s="71"/>
    </row>
    <row r="2" spans="1:12" ht="26.25" x14ac:dyDescent="0.2">
      <c r="A2" s="794" t="str">
        <f>GDSL!A2</f>
        <v>TAHUN 2026</v>
      </c>
      <c r="B2" s="794"/>
      <c r="C2" s="794"/>
      <c r="D2" s="794"/>
      <c r="E2" s="794"/>
      <c r="F2" s="794"/>
      <c r="G2" s="794"/>
      <c r="H2" s="794"/>
      <c r="I2" s="794"/>
      <c r="J2" s="794"/>
      <c r="K2" s="282"/>
      <c r="L2" s="71"/>
    </row>
    <row r="3" spans="1:12" ht="15.75" x14ac:dyDescent="0.25">
      <c r="A3" s="93" t="s">
        <v>0</v>
      </c>
      <c r="B3" s="727" t="s">
        <v>296</v>
      </c>
      <c r="C3" s="728"/>
      <c r="D3" s="728"/>
      <c r="E3" s="728"/>
      <c r="F3" s="728"/>
      <c r="G3" s="729"/>
      <c r="H3" s="70" t="s">
        <v>11</v>
      </c>
      <c r="I3" s="739" t="s">
        <v>15</v>
      </c>
      <c r="J3" s="739"/>
      <c r="K3" s="708">
        <v>46072</v>
      </c>
    </row>
    <row r="4" spans="1:12" ht="14.25" x14ac:dyDescent="0.2">
      <c r="A4" s="93" t="s">
        <v>1</v>
      </c>
      <c r="B4" s="857" t="s">
        <v>295</v>
      </c>
      <c r="C4" s="858"/>
      <c r="D4" s="858"/>
      <c r="E4" s="858"/>
      <c r="F4" s="858"/>
      <c r="G4" s="859"/>
      <c r="H4" s="69">
        <v>150</v>
      </c>
      <c r="I4" s="739"/>
      <c r="J4" s="739"/>
    </row>
    <row r="5" spans="1:12" x14ac:dyDescent="0.2">
      <c r="A5" s="726" t="s">
        <v>3</v>
      </c>
      <c r="B5" s="834" t="s">
        <v>2</v>
      </c>
      <c r="C5" s="731" t="s">
        <v>19</v>
      </c>
      <c r="D5" s="837"/>
      <c r="E5" s="837"/>
      <c r="F5" s="723" t="s">
        <v>24</v>
      </c>
      <c r="G5" s="724"/>
      <c r="H5" s="84" t="s">
        <v>12</v>
      </c>
      <c r="I5" s="726" t="s">
        <v>3</v>
      </c>
      <c r="J5" s="94" t="s">
        <v>13</v>
      </c>
    </row>
    <row r="6" spans="1:12" x14ac:dyDescent="0.2">
      <c r="A6" s="726"/>
      <c r="B6" s="834"/>
      <c r="C6" s="22" t="s">
        <v>289</v>
      </c>
      <c r="D6" s="22" t="s">
        <v>290</v>
      </c>
      <c r="E6" s="22" t="s">
        <v>291</v>
      </c>
      <c r="F6" s="563" t="s">
        <v>23</v>
      </c>
      <c r="G6" s="82" t="s">
        <v>8</v>
      </c>
      <c r="H6" s="457" t="s">
        <v>9</v>
      </c>
      <c r="I6" s="726"/>
      <c r="J6" s="94" t="s">
        <v>14</v>
      </c>
    </row>
    <row r="7" spans="1:12" x14ac:dyDescent="0.2">
      <c r="A7" s="676" t="s">
        <v>182</v>
      </c>
      <c r="B7" s="677"/>
      <c r="C7" s="686">
        <v>1276500</v>
      </c>
      <c r="D7" s="686">
        <v>2220000</v>
      </c>
      <c r="E7" s="686"/>
      <c r="F7" s="687"/>
      <c r="G7" s="256"/>
      <c r="H7" s="12"/>
      <c r="I7" s="122"/>
      <c r="J7" s="4"/>
    </row>
    <row r="8" spans="1:12" x14ac:dyDescent="0.2">
      <c r="A8" s="431">
        <v>46072</v>
      </c>
      <c r="B8" s="112">
        <v>24335</v>
      </c>
      <c r="C8" s="283">
        <v>0</v>
      </c>
      <c r="D8" s="283">
        <v>25</v>
      </c>
      <c r="E8" s="6">
        <v>0</v>
      </c>
      <c r="F8" s="8">
        <f t="shared" ref="F8:F13" si="0">C8+D8+E8</f>
        <v>25</v>
      </c>
      <c r="G8" s="8">
        <f t="shared" ref="G8:G13" si="1">(C8*C$7+D8*D$7+E8*E$7)</f>
        <v>55500000</v>
      </c>
      <c r="H8" s="9">
        <f>H4-F8</f>
        <v>125</v>
      </c>
      <c r="I8" s="122">
        <f>'[1]Area 2'!$D$13</f>
        <v>0</v>
      </c>
      <c r="J8" s="10">
        <f t="shared" ref="J8:J15" si="2">I8-A8</f>
        <v>-46072</v>
      </c>
    </row>
    <row r="9" spans="1:12" x14ac:dyDescent="0.2">
      <c r="A9" s="431"/>
      <c r="B9" s="112"/>
      <c r="C9" s="283"/>
      <c r="D9" s="283"/>
      <c r="E9" s="6">
        <v>0</v>
      </c>
      <c r="F9" s="8">
        <f t="shared" si="0"/>
        <v>0</v>
      </c>
      <c r="G9" s="8">
        <f t="shared" si="1"/>
        <v>0</v>
      </c>
      <c r="H9" s="9">
        <f>H8-F9</f>
        <v>125</v>
      </c>
      <c r="I9" s="124"/>
      <c r="J9" s="10">
        <f t="shared" si="2"/>
        <v>0</v>
      </c>
    </row>
    <row r="10" spans="1:12" x14ac:dyDescent="0.2">
      <c r="A10" s="431"/>
      <c r="B10" s="112"/>
      <c r="C10" s="283"/>
      <c r="D10" s="283"/>
      <c r="E10" s="6">
        <v>0</v>
      </c>
      <c r="F10" s="8">
        <f t="shared" si="0"/>
        <v>0</v>
      </c>
      <c r="G10" s="8">
        <f t="shared" si="1"/>
        <v>0</v>
      </c>
      <c r="H10" s="9">
        <f t="shared" ref="H10:H15" si="3">H9-F10</f>
        <v>125</v>
      </c>
      <c r="I10" s="122"/>
      <c r="J10" s="15">
        <f t="shared" si="2"/>
        <v>0</v>
      </c>
    </row>
    <row r="11" spans="1:12" x14ac:dyDescent="0.2">
      <c r="A11" s="431"/>
      <c r="B11" s="112"/>
      <c r="C11" s="283"/>
      <c r="D11" s="283"/>
      <c r="E11" s="6">
        <v>0</v>
      </c>
      <c r="F11" s="8">
        <f t="shared" si="0"/>
        <v>0</v>
      </c>
      <c r="G11" s="8">
        <f t="shared" si="1"/>
        <v>0</v>
      </c>
      <c r="H11" s="9">
        <f t="shared" si="3"/>
        <v>125</v>
      </c>
      <c r="I11" s="122"/>
      <c r="J11" s="10">
        <f t="shared" si="2"/>
        <v>0</v>
      </c>
    </row>
    <row r="12" spans="1:12" x14ac:dyDescent="0.2">
      <c r="A12" s="470"/>
      <c r="B12" s="653"/>
      <c r="C12" s="283"/>
      <c r="D12" s="283"/>
      <c r="E12" s="283">
        <v>0</v>
      </c>
      <c r="F12" s="284">
        <f t="shared" si="0"/>
        <v>0</v>
      </c>
      <c r="G12" s="284">
        <f t="shared" si="1"/>
        <v>0</v>
      </c>
      <c r="H12" s="9">
        <f t="shared" si="3"/>
        <v>125</v>
      </c>
      <c r="I12" s="122"/>
      <c r="J12" s="10">
        <f t="shared" si="2"/>
        <v>0</v>
      </c>
    </row>
    <row r="13" spans="1:12" x14ac:dyDescent="0.2">
      <c r="A13" s="470"/>
      <c r="B13" s="653"/>
      <c r="C13" s="283"/>
      <c r="D13" s="283"/>
      <c r="E13" s="283">
        <v>0</v>
      </c>
      <c r="F13" s="284">
        <f t="shared" si="0"/>
        <v>0</v>
      </c>
      <c r="G13" s="284">
        <f t="shared" si="1"/>
        <v>0</v>
      </c>
      <c r="H13" s="9">
        <f t="shared" si="3"/>
        <v>125</v>
      </c>
      <c r="I13" s="122"/>
      <c r="J13" s="10">
        <f t="shared" si="2"/>
        <v>0</v>
      </c>
    </row>
    <row r="14" spans="1:12" x14ac:dyDescent="0.2">
      <c r="A14" s="470"/>
      <c r="B14" s="653"/>
      <c r="C14" s="283"/>
      <c r="D14" s="283"/>
      <c r="E14" s="283">
        <v>0</v>
      </c>
      <c r="F14" s="284">
        <f>C14+D14+E14</f>
        <v>0</v>
      </c>
      <c r="G14" s="284">
        <f>(C14*C$7+D14*D$7+E14*E$7)</f>
        <v>0</v>
      </c>
      <c r="H14" s="9">
        <f t="shared" si="3"/>
        <v>125</v>
      </c>
      <c r="I14" s="122"/>
      <c r="J14" s="10">
        <f t="shared" si="2"/>
        <v>0</v>
      </c>
    </row>
    <row r="15" spans="1:12" x14ac:dyDescent="0.2">
      <c r="A15" s="470"/>
      <c r="B15" s="653"/>
      <c r="C15" s="283"/>
      <c r="D15" s="283">
        <v>0</v>
      </c>
      <c r="E15" s="283">
        <v>0</v>
      </c>
      <c r="F15" s="284">
        <f>C15+D15+E15</f>
        <v>0</v>
      </c>
      <c r="G15" s="284">
        <f>(C15*C$7+D15*D$7+E15*E$7)</f>
        <v>0</v>
      </c>
      <c r="H15" s="9">
        <f t="shared" si="3"/>
        <v>125</v>
      </c>
      <c r="I15" s="122"/>
      <c r="J15" s="10">
        <f t="shared" si="2"/>
        <v>0</v>
      </c>
    </row>
    <row r="16" spans="1:12" x14ac:dyDescent="0.2">
      <c r="A16" s="731" t="s">
        <v>18</v>
      </c>
      <c r="B16" s="732"/>
      <c r="C16" s="272">
        <f>SUM(C8:C15)</f>
        <v>0</v>
      </c>
      <c r="D16" s="272">
        <f>SUM(D8:D15)</f>
        <v>25</v>
      </c>
      <c r="E16" s="273">
        <f>SUM(E8:E15)</f>
        <v>0</v>
      </c>
      <c r="F16" s="215">
        <f>SUM(F8:F15)</f>
        <v>25</v>
      </c>
      <c r="G16" s="79">
        <f>SUM(G8:G15)</f>
        <v>55500000</v>
      </c>
      <c r="H16" s="9">
        <f>H4-F16</f>
        <v>125</v>
      </c>
      <c r="I16" s="121"/>
      <c r="J16" s="4"/>
    </row>
    <row r="17" spans="1:11" x14ac:dyDescent="0.2">
      <c r="A17" s="4"/>
      <c r="B17" s="121"/>
      <c r="C17" s="7"/>
      <c r="D17" s="7"/>
      <c r="E17" s="284"/>
      <c r="F17" s="14"/>
      <c r="G17" s="57" t="s">
        <v>46</v>
      </c>
      <c r="H17" s="568">
        <f>F8/H4 %</f>
        <v>16.666666666666668</v>
      </c>
      <c r="I17" s="121"/>
      <c r="J17" s="4"/>
    </row>
    <row r="18" spans="1:11" x14ac:dyDescent="0.2">
      <c r="A18" s="16"/>
      <c r="B18" s="125"/>
      <c r="C18" s="17"/>
      <c r="D18" s="17"/>
      <c r="E18" s="18"/>
      <c r="F18" s="23"/>
      <c r="G18" s="106"/>
      <c r="H18" s="108"/>
      <c r="I18" s="125"/>
      <c r="J18" s="16"/>
    </row>
    <row r="19" spans="1:11" ht="15.75" x14ac:dyDescent="0.25">
      <c r="A19" s="93" t="s">
        <v>0</v>
      </c>
      <c r="B19" s="727" t="s">
        <v>296</v>
      </c>
      <c r="C19" s="728"/>
      <c r="D19" s="728"/>
      <c r="E19" s="728"/>
      <c r="F19" s="728"/>
      <c r="G19" s="729"/>
      <c r="H19" s="70" t="s">
        <v>11</v>
      </c>
      <c r="I19" s="739" t="s">
        <v>15</v>
      </c>
      <c r="J19" s="739"/>
      <c r="K19" s="708">
        <v>46077</v>
      </c>
    </row>
    <row r="20" spans="1:11" ht="14.25" x14ac:dyDescent="0.2">
      <c r="A20" s="93" t="s">
        <v>1</v>
      </c>
      <c r="B20" s="857" t="s">
        <v>300</v>
      </c>
      <c r="C20" s="858"/>
      <c r="D20" s="858"/>
      <c r="E20" s="858"/>
      <c r="F20" s="858"/>
      <c r="G20" s="859"/>
      <c r="H20" s="69">
        <v>150</v>
      </c>
      <c r="I20" s="739"/>
      <c r="J20" s="739"/>
    </row>
    <row r="21" spans="1:11" x14ac:dyDescent="0.2">
      <c r="A21" s="726" t="s">
        <v>3</v>
      </c>
      <c r="B21" s="725" t="s">
        <v>2</v>
      </c>
      <c r="C21" s="723" t="s">
        <v>19</v>
      </c>
      <c r="D21" s="724"/>
      <c r="E21" s="724"/>
      <c r="F21" s="723" t="s">
        <v>24</v>
      </c>
      <c r="G21" s="724"/>
      <c r="H21" s="84" t="s">
        <v>12</v>
      </c>
      <c r="I21" s="726" t="s">
        <v>3</v>
      </c>
      <c r="J21" s="94" t="s">
        <v>13</v>
      </c>
    </row>
    <row r="22" spans="1:11" x14ac:dyDescent="0.2">
      <c r="A22" s="726"/>
      <c r="B22" s="725"/>
      <c r="C22" s="22" t="s">
        <v>289</v>
      </c>
      <c r="D22" s="22" t="s">
        <v>290</v>
      </c>
      <c r="E22" s="22" t="s">
        <v>291</v>
      </c>
      <c r="F22" s="563" t="s">
        <v>23</v>
      </c>
      <c r="G22" s="82" t="s">
        <v>8</v>
      </c>
      <c r="H22" s="457" t="s">
        <v>9</v>
      </c>
      <c r="I22" s="726"/>
      <c r="J22" s="94" t="s">
        <v>14</v>
      </c>
    </row>
    <row r="23" spans="1:11" x14ac:dyDescent="0.2">
      <c r="A23" s="676" t="s">
        <v>182</v>
      </c>
      <c r="B23" s="677"/>
      <c r="C23" s="686">
        <v>1276500</v>
      </c>
      <c r="D23" s="686">
        <v>2220000</v>
      </c>
      <c r="E23" s="686"/>
      <c r="F23" s="687"/>
      <c r="G23" s="256"/>
      <c r="H23" s="12"/>
      <c r="I23" s="122"/>
      <c r="J23" s="4"/>
    </row>
    <row r="24" spans="1:11" x14ac:dyDescent="0.2">
      <c r="A24" s="431">
        <v>46048</v>
      </c>
      <c r="B24" s="112">
        <v>24328</v>
      </c>
      <c r="C24" s="6">
        <v>15</v>
      </c>
      <c r="D24" s="283"/>
      <c r="E24" s="6">
        <v>0</v>
      </c>
      <c r="F24" s="8">
        <f>C24+D24+E24</f>
        <v>15</v>
      </c>
      <c r="G24" s="8">
        <f>(C24*C$23+D24*D$23+E24*E$23)</f>
        <v>19147500</v>
      </c>
      <c r="H24" s="9">
        <f>H20-F24</f>
        <v>135</v>
      </c>
      <c r="I24" s="122">
        <f>'[1]Area I '!$D$13</f>
        <v>46083</v>
      </c>
      <c r="J24" s="10">
        <f t="shared" ref="J24:J30" si="4">I24-A24</f>
        <v>35</v>
      </c>
    </row>
    <row r="25" spans="1:11" x14ac:dyDescent="0.2">
      <c r="A25" s="431">
        <v>46071</v>
      </c>
      <c r="B25" s="112">
        <v>24334</v>
      </c>
      <c r="C25" s="6">
        <v>0</v>
      </c>
      <c r="D25" s="283">
        <v>50</v>
      </c>
      <c r="E25" s="6">
        <v>0</v>
      </c>
      <c r="F25" s="8">
        <f>C25+D25+E25</f>
        <v>50</v>
      </c>
      <c r="G25" s="8">
        <f t="shared" ref="G25:G30" si="5">(C25*C$23+D25*D$23+E25*E$23)</f>
        <v>111000000</v>
      </c>
      <c r="H25" s="9">
        <f>H24-F25</f>
        <v>85</v>
      </c>
      <c r="I25" s="124">
        <f>'[1]Area I '!$D$15</f>
        <v>0</v>
      </c>
      <c r="J25" s="10">
        <f t="shared" si="4"/>
        <v>-46071</v>
      </c>
    </row>
    <row r="26" spans="1:11" x14ac:dyDescent="0.2">
      <c r="A26" s="431"/>
      <c r="B26" s="112"/>
      <c r="C26" s="6">
        <v>0</v>
      </c>
      <c r="D26" s="283"/>
      <c r="E26" s="6">
        <v>0</v>
      </c>
      <c r="F26" s="8">
        <f>C26+D26+E26</f>
        <v>0</v>
      </c>
      <c r="G26" s="8">
        <f t="shared" si="5"/>
        <v>0</v>
      </c>
      <c r="H26" s="9">
        <f t="shared" ref="H26:H31" si="6">H25-F26</f>
        <v>85</v>
      </c>
      <c r="I26" s="122"/>
      <c r="J26" s="15">
        <f t="shared" si="4"/>
        <v>0</v>
      </c>
    </row>
    <row r="27" spans="1:11" x14ac:dyDescent="0.2">
      <c r="A27" s="431"/>
      <c r="B27" s="112"/>
      <c r="C27" s="6">
        <v>0</v>
      </c>
      <c r="D27" s="283"/>
      <c r="E27" s="6">
        <v>0</v>
      </c>
      <c r="F27" s="8">
        <f>C27+D27+E27</f>
        <v>0</v>
      </c>
      <c r="G27" s="8">
        <f t="shared" si="5"/>
        <v>0</v>
      </c>
      <c r="H27" s="9">
        <f t="shared" si="6"/>
        <v>85</v>
      </c>
      <c r="I27" s="122"/>
      <c r="J27" s="10">
        <f t="shared" si="4"/>
        <v>0</v>
      </c>
    </row>
    <row r="28" spans="1:11" x14ac:dyDescent="0.2">
      <c r="A28" s="431"/>
      <c r="B28" s="112"/>
      <c r="C28" s="6"/>
      <c r="D28" s="283"/>
      <c r="E28" s="6"/>
      <c r="F28" s="8">
        <f>C28+D28+E28</f>
        <v>0</v>
      </c>
      <c r="G28" s="8">
        <f t="shared" si="5"/>
        <v>0</v>
      </c>
      <c r="H28" s="9">
        <f t="shared" si="6"/>
        <v>85</v>
      </c>
      <c r="I28" s="122"/>
      <c r="J28" s="10">
        <f t="shared" si="4"/>
        <v>0</v>
      </c>
    </row>
    <row r="29" spans="1:11" x14ac:dyDescent="0.2">
      <c r="A29" s="431"/>
      <c r="B29" s="112"/>
      <c r="C29" s="6"/>
      <c r="D29" s="283"/>
      <c r="E29" s="6"/>
      <c r="F29" s="8">
        <v>0</v>
      </c>
      <c r="G29" s="8">
        <f t="shared" si="5"/>
        <v>0</v>
      </c>
      <c r="H29" s="9">
        <f t="shared" si="6"/>
        <v>85</v>
      </c>
      <c r="I29" s="122"/>
      <c r="J29" s="10">
        <f t="shared" si="4"/>
        <v>0</v>
      </c>
    </row>
    <row r="30" spans="1:11" x14ac:dyDescent="0.2">
      <c r="A30" s="431"/>
      <c r="B30" s="112"/>
      <c r="C30" s="6"/>
      <c r="D30" s="283"/>
      <c r="E30" s="6"/>
      <c r="F30" s="8">
        <f>C30+D30+E30</f>
        <v>0</v>
      </c>
      <c r="G30" s="8">
        <f t="shared" si="5"/>
        <v>0</v>
      </c>
      <c r="H30" s="9">
        <f t="shared" si="6"/>
        <v>85</v>
      </c>
      <c r="I30" s="122"/>
      <c r="J30" s="10">
        <f t="shared" si="4"/>
        <v>0</v>
      </c>
    </row>
    <row r="31" spans="1:11" x14ac:dyDescent="0.2">
      <c r="A31" s="731" t="s">
        <v>18</v>
      </c>
      <c r="B31" s="732"/>
      <c r="C31" s="272">
        <f>SUM(C24:C30)</f>
        <v>15</v>
      </c>
      <c r="D31" s="272">
        <f>SUM(D24:D30)</f>
        <v>50</v>
      </c>
      <c r="E31" s="273">
        <f>SUM(E24:E30)</f>
        <v>0</v>
      </c>
      <c r="F31" s="215">
        <f>SUM(F24:F30)</f>
        <v>65</v>
      </c>
      <c r="G31" s="79">
        <f>SUM(G24:G30)</f>
        <v>130147500</v>
      </c>
      <c r="H31" s="9">
        <f t="shared" si="6"/>
        <v>20</v>
      </c>
      <c r="I31" s="121"/>
      <c r="J31" s="4"/>
    </row>
    <row r="32" spans="1:11" x14ac:dyDescent="0.2">
      <c r="A32" s="4"/>
      <c r="B32" s="121"/>
      <c r="C32" s="7"/>
      <c r="D32" s="7"/>
      <c r="E32" s="284"/>
      <c r="F32" s="14"/>
      <c r="G32" s="57" t="s">
        <v>46</v>
      </c>
      <c r="H32" s="9">
        <f>F31/H20%</f>
        <v>43.333333333333336</v>
      </c>
      <c r="I32" s="121"/>
      <c r="J32" s="4"/>
    </row>
    <row r="33" spans="1:11" x14ac:dyDescent="0.2">
      <c r="A33" s="16"/>
      <c r="B33" s="125"/>
      <c r="C33" s="17"/>
      <c r="D33" s="17"/>
      <c r="E33" s="18"/>
      <c r="F33" s="23"/>
      <c r="G33" s="106"/>
      <c r="H33" s="108"/>
      <c r="I33" s="125"/>
      <c r="J33" s="16"/>
    </row>
    <row r="34" spans="1:11" ht="15.75" x14ac:dyDescent="0.25">
      <c r="A34" s="93" t="s">
        <v>0</v>
      </c>
      <c r="B34" s="860" t="s">
        <v>296</v>
      </c>
      <c r="C34" s="860"/>
      <c r="D34" s="860"/>
      <c r="E34" s="860"/>
      <c r="F34" s="860"/>
      <c r="G34" s="860"/>
      <c r="H34" s="70" t="s">
        <v>11</v>
      </c>
      <c r="I34" s="739" t="s">
        <v>15</v>
      </c>
      <c r="J34" s="739"/>
      <c r="K34" s="705">
        <v>46062</v>
      </c>
    </row>
    <row r="35" spans="1:11" ht="14.25" x14ac:dyDescent="0.2">
      <c r="A35" s="93" t="s">
        <v>1</v>
      </c>
      <c r="B35" s="861" t="s">
        <v>207</v>
      </c>
      <c r="C35" s="861"/>
      <c r="D35" s="861"/>
      <c r="E35" s="861"/>
      <c r="F35" s="861"/>
      <c r="G35" s="861"/>
      <c r="H35" s="69">
        <v>150</v>
      </c>
      <c r="I35" s="739"/>
      <c r="J35" s="739"/>
    </row>
    <row r="36" spans="1:11" x14ac:dyDescent="0.2">
      <c r="A36" s="726" t="s">
        <v>3</v>
      </c>
      <c r="B36" s="834" t="s">
        <v>2</v>
      </c>
      <c r="C36" s="731" t="s">
        <v>19</v>
      </c>
      <c r="D36" s="837"/>
      <c r="E36" s="837"/>
      <c r="F36" s="731" t="s">
        <v>24</v>
      </c>
      <c r="G36" s="837"/>
      <c r="H36" s="84" t="s">
        <v>12</v>
      </c>
      <c r="I36" s="726" t="s">
        <v>3</v>
      </c>
      <c r="J36" s="94" t="s">
        <v>13</v>
      </c>
    </row>
    <row r="37" spans="1:11" x14ac:dyDescent="0.2">
      <c r="A37" s="726"/>
      <c r="B37" s="834"/>
      <c r="C37" s="22" t="s">
        <v>289</v>
      </c>
      <c r="D37" s="22" t="s">
        <v>290</v>
      </c>
      <c r="E37" s="22" t="s">
        <v>291</v>
      </c>
      <c r="F37" s="563" t="s">
        <v>23</v>
      </c>
      <c r="G37" s="82" t="s">
        <v>8</v>
      </c>
      <c r="H37" s="457" t="s">
        <v>9</v>
      </c>
      <c r="I37" s="726"/>
      <c r="J37" s="94" t="s">
        <v>14</v>
      </c>
    </row>
    <row r="38" spans="1:11" x14ac:dyDescent="0.2">
      <c r="A38" s="676" t="s">
        <v>182</v>
      </c>
      <c r="B38" s="677"/>
      <c r="C38" s="686">
        <v>1276500</v>
      </c>
      <c r="D38" s="686">
        <v>2220000</v>
      </c>
      <c r="E38" s="686"/>
      <c r="F38" s="687"/>
      <c r="G38" s="256"/>
      <c r="H38" s="12"/>
      <c r="I38" s="122"/>
      <c r="J38" s="4"/>
    </row>
    <row r="39" spans="1:11" x14ac:dyDescent="0.2">
      <c r="A39" s="431">
        <v>46063</v>
      </c>
      <c r="B39" s="112">
        <v>24284</v>
      </c>
      <c r="C39" s="6">
        <v>0</v>
      </c>
      <c r="D39" s="283">
        <v>50</v>
      </c>
      <c r="E39" s="6">
        <v>0</v>
      </c>
      <c r="F39" s="8">
        <f>C39+D39+E39</f>
        <v>50</v>
      </c>
      <c r="G39" s="8">
        <f>(C39*C$38+D39*D$38+E39*E$38)</f>
        <v>111000000</v>
      </c>
      <c r="H39" s="9">
        <f>H35-F39</f>
        <v>100</v>
      </c>
      <c r="I39" s="122">
        <f>'[1]Area 4'!$D$42</f>
        <v>0</v>
      </c>
      <c r="J39" s="10">
        <f t="shared" ref="J39:J45" si="7">I39-A39</f>
        <v>-46063</v>
      </c>
    </row>
    <row r="40" spans="1:11" x14ac:dyDescent="0.2">
      <c r="A40" s="431">
        <v>46065</v>
      </c>
      <c r="B40" s="112">
        <v>24286</v>
      </c>
      <c r="C40" s="6">
        <v>10</v>
      </c>
      <c r="D40" s="283">
        <v>0</v>
      </c>
      <c r="E40" s="6">
        <v>0</v>
      </c>
      <c r="F40" s="8">
        <f>C40+D40+E40</f>
        <v>10</v>
      </c>
      <c r="G40" s="8">
        <f>(C40*C$38+D40*D$38+E40*E$38)</f>
        <v>12765000</v>
      </c>
      <c r="H40" s="9">
        <f>H39-F40</f>
        <v>90</v>
      </c>
      <c r="I40" s="124">
        <f>'[1]Area 4'!$D$44</f>
        <v>0</v>
      </c>
      <c r="J40" s="10">
        <f t="shared" si="7"/>
        <v>-46065</v>
      </c>
    </row>
    <row r="41" spans="1:11" x14ac:dyDescent="0.2">
      <c r="A41" s="431"/>
      <c r="B41" s="112"/>
      <c r="C41" s="6"/>
      <c r="D41" s="283"/>
      <c r="E41" s="6"/>
      <c r="F41" s="8">
        <f>C41+D41+E41</f>
        <v>0</v>
      </c>
      <c r="G41" s="8">
        <f t="shared" ref="G41:G46" si="8">(C41*C$38+D41*D$38+E41*E$38)</f>
        <v>0</v>
      </c>
      <c r="H41" s="9">
        <f t="shared" ref="H41:H47" si="9">H40-F41</f>
        <v>90</v>
      </c>
      <c r="I41" s="122"/>
      <c r="J41" s="15">
        <f t="shared" si="7"/>
        <v>0</v>
      </c>
    </row>
    <row r="42" spans="1:11" x14ac:dyDescent="0.2">
      <c r="A42" s="431"/>
      <c r="B42" s="112"/>
      <c r="C42" s="6"/>
      <c r="D42" s="283"/>
      <c r="E42" s="6"/>
      <c r="F42" s="8">
        <f>C42+D42+E42</f>
        <v>0</v>
      </c>
      <c r="G42" s="8">
        <f t="shared" si="8"/>
        <v>0</v>
      </c>
      <c r="H42" s="9">
        <f t="shared" si="9"/>
        <v>90</v>
      </c>
      <c r="I42" s="122"/>
      <c r="J42" s="10">
        <f t="shared" si="7"/>
        <v>0</v>
      </c>
    </row>
    <row r="43" spans="1:11" x14ac:dyDescent="0.2">
      <c r="A43" s="431"/>
      <c r="B43" s="112"/>
      <c r="C43" s="6"/>
      <c r="D43" s="283"/>
      <c r="E43" s="6"/>
      <c r="F43" s="8">
        <f>C43+D43+E43</f>
        <v>0</v>
      </c>
      <c r="G43" s="8">
        <f t="shared" si="8"/>
        <v>0</v>
      </c>
      <c r="H43" s="9">
        <f t="shared" si="9"/>
        <v>90</v>
      </c>
      <c r="I43" s="122"/>
      <c r="J43" s="10">
        <f t="shared" si="7"/>
        <v>0</v>
      </c>
    </row>
    <row r="44" spans="1:11" x14ac:dyDescent="0.2">
      <c r="A44" s="431"/>
      <c r="B44" s="112"/>
      <c r="C44" s="6"/>
      <c r="D44" s="283"/>
      <c r="E44" s="6"/>
      <c r="F44" s="8">
        <v>0</v>
      </c>
      <c r="G44" s="8">
        <f t="shared" si="8"/>
        <v>0</v>
      </c>
      <c r="H44" s="9">
        <f t="shared" si="9"/>
        <v>90</v>
      </c>
      <c r="I44" s="122"/>
      <c r="J44" s="10">
        <f t="shared" si="7"/>
        <v>0</v>
      </c>
    </row>
    <row r="45" spans="1:11" x14ac:dyDescent="0.2">
      <c r="A45" s="431"/>
      <c r="B45" s="112"/>
      <c r="C45" s="6"/>
      <c r="D45" s="283"/>
      <c r="E45" s="6"/>
      <c r="F45" s="8">
        <f>C45+D45+E45</f>
        <v>0</v>
      </c>
      <c r="G45" s="8">
        <f t="shared" si="8"/>
        <v>0</v>
      </c>
      <c r="H45" s="9">
        <f t="shared" si="9"/>
        <v>90</v>
      </c>
      <c r="I45" s="122"/>
      <c r="J45" s="10">
        <f t="shared" si="7"/>
        <v>0</v>
      </c>
    </row>
    <row r="46" spans="1:11" x14ac:dyDescent="0.2">
      <c r="A46" s="731" t="s">
        <v>18</v>
      </c>
      <c r="B46" s="732"/>
      <c r="C46" s="272">
        <f>SUM(C39:C45)</f>
        <v>10</v>
      </c>
      <c r="D46" s="272">
        <f>SUM(D39:D45)</f>
        <v>50</v>
      </c>
      <c r="E46" s="273">
        <f>SUM(E39:E45)</f>
        <v>0</v>
      </c>
      <c r="F46" s="215">
        <f>SUM(F39:F45)</f>
        <v>60</v>
      </c>
      <c r="G46" s="8">
        <f t="shared" si="8"/>
        <v>123765000</v>
      </c>
      <c r="H46" s="9">
        <f t="shared" si="9"/>
        <v>30</v>
      </c>
      <c r="I46" s="121"/>
      <c r="J46" s="4"/>
    </row>
    <row r="47" spans="1:11" x14ac:dyDescent="0.2">
      <c r="A47" s="4"/>
      <c r="B47" s="121"/>
      <c r="C47" s="7"/>
      <c r="D47" s="7"/>
      <c r="E47" s="284"/>
      <c r="F47" s="14"/>
      <c r="G47" s="57" t="s">
        <v>46</v>
      </c>
      <c r="H47" s="9">
        <f t="shared" si="9"/>
        <v>30</v>
      </c>
      <c r="I47" s="121"/>
      <c r="J47" s="4"/>
    </row>
    <row r="48" spans="1:11" x14ac:dyDescent="0.2">
      <c r="A48" s="16"/>
      <c r="B48" s="125"/>
      <c r="C48" s="17"/>
      <c r="D48" s="17"/>
      <c r="E48" s="18"/>
      <c r="F48" s="23"/>
      <c r="G48" s="106"/>
      <c r="H48" s="108"/>
      <c r="I48" s="125"/>
      <c r="J48" s="16"/>
    </row>
    <row r="49" spans="1:11" ht="15.75" x14ac:dyDescent="0.25">
      <c r="A49" s="93" t="s">
        <v>0</v>
      </c>
      <c r="B49" s="727" t="s">
        <v>296</v>
      </c>
      <c r="C49" s="728"/>
      <c r="D49" s="728"/>
      <c r="E49" s="728"/>
      <c r="F49" s="728"/>
      <c r="G49" s="729"/>
      <c r="H49" s="70" t="s">
        <v>11</v>
      </c>
      <c r="I49" s="739" t="s">
        <v>15</v>
      </c>
      <c r="J49" s="739"/>
      <c r="K49" s="705">
        <v>46083</v>
      </c>
    </row>
    <row r="50" spans="1:11" ht="14.25" x14ac:dyDescent="0.2">
      <c r="A50" s="93" t="s">
        <v>1</v>
      </c>
      <c r="B50" s="861" t="s">
        <v>301</v>
      </c>
      <c r="C50" s="861"/>
      <c r="D50" s="861"/>
      <c r="E50" s="861"/>
      <c r="F50" s="861"/>
      <c r="G50" s="861"/>
      <c r="H50" s="69">
        <v>50</v>
      </c>
      <c r="I50" s="739"/>
      <c r="J50" s="739"/>
    </row>
    <row r="51" spans="1:11" x14ac:dyDescent="0.2">
      <c r="A51" s="726" t="s">
        <v>3</v>
      </c>
      <c r="B51" s="834" t="s">
        <v>2</v>
      </c>
      <c r="C51" s="731" t="s">
        <v>19</v>
      </c>
      <c r="D51" s="837"/>
      <c r="E51" s="837"/>
      <c r="F51" s="731" t="s">
        <v>24</v>
      </c>
      <c r="G51" s="837"/>
      <c r="H51" s="84" t="s">
        <v>12</v>
      </c>
      <c r="I51" s="726" t="s">
        <v>3</v>
      </c>
      <c r="J51" s="94" t="s">
        <v>13</v>
      </c>
    </row>
    <row r="52" spans="1:11" x14ac:dyDescent="0.2">
      <c r="A52" s="726"/>
      <c r="B52" s="834"/>
      <c r="C52" s="22" t="s">
        <v>289</v>
      </c>
      <c r="D52" s="22" t="s">
        <v>290</v>
      </c>
      <c r="E52" s="22" t="s">
        <v>291</v>
      </c>
      <c r="F52" s="563" t="s">
        <v>23</v>
      </c>
      <c r="G52" s="82" t="s">
        <v>8</v>
      </c>
      <c r="H52" s="457" t="s">
        <v>9</v>
      </c>
      <c r="I52" s="726"/>
      <c r="J52" s="94" t="s">
        <v>14</v>
      </c>
    </row>
    <row r="53" spans="1:11" x14ac:dyDescent="0.2">
      <c r="A53" s="676" t="s">
        <v>182</v>
      </c>
      <c r="B53" s="677"/>
      <c r="C53" s="686">
        <v>1276500</v>
      </c>
      <c r="D53" s="686">
        <v>2220000</v>
      </c>
      <c r="E53" s="686"/>
      <c r="F53" s="687"/>
      <c r="G53" s="256"/>
      <c r="H53" s="12"/>
      <c r="I53" s="122"/>
      <c r="J53" s="4"/>
    </row>
    <row r="54" spans="1:11" x14ac:dyDescent="0.2">
      <c r="A54" s="431">
        <v>46084</v>
      </c>
      <c r="B54" s="112">
        <v>24123</v>
      </c>
      <c r="C54" s="6">
        <v>10</v>
      </c>
      <c r="D54" s="283">
        <v>2</v>
      </c>
      <c r="E54" s="6"/>
      <c r="F54" s="8">
        <f>C54+D54+E54</f>
        <v>12</v>
      </c>
      <c r="G54" s="8">
        <f>(C54*C$53+D54*D$53+E54*E$53)</f>
        <v>17205000</v>
      </c>
      <c r="H54" s="9">
        <f>H50-F54</f>
        <v>38</v>
      </c>
      <c r="I54" s="122">
        <f>'[1]Area 5'!$D$13</f>
        <v>0</v>
      </c>
      <c r="J54" s="10">
        <f t="shared" ref="J54:J60" si="10">I54-A54</f>
        <v>-46084</v>
      </c>
    </row>
    <row r="55" spans="1:11" x14ac:dyDescent="0.2">
      <c r="A55" s="431"/>
      <c r="B55" s="112"/>
      <c r="C55" s="6"/>
      <c r="D55" s="283"/>
      <c r="E55" s="6"/>
      <c r="F55" s="8">
        <f>C55+D55+E55</f>
        <v>0</v>
      </c>
      <c r="G55" s="8">
        <f t="shared" ref="G55:G61" si="11">(C55*C$53+D55*D$53+E55*E$53)</f>
        <v>0</v>
      </c>
      <c r="H55" s="9">
        <f>H54-F55</f>
        <v>38</v>
      </c>
      <c r="I55" s="124"/>
      <c r="J55" s="10">
        <f t="shared" si="10"/>
        <v>0</v>
      </c>
    </row>
    <row r="56" spans="1:11" x14ac:dyDescent="0.2">
      <c r="A56" s="431"/>
      <c r="B56" s="112"/>
      <c r="C56" s="6"/>
      <c r="D56" s="283"/>
      <c r="E56" s="6"/>
      <c r="F56" s="8">
        <f>C56+D56+E56</f>
        <v>0</v>
      </c>
      <c r="G56" s="8">
        <f t="shared" si="11"/>
        <v>0</v>
      </c>
      <c r="H56" s="9">
        <f t="shared" ref="H56:H62" si="12">H55-F56</f>
        <v>38</v>
      </c>
      <c r="I56" s="122"/>
      <c r="J56" s="15">
        <f t="shared" si="10"/>
        <v>0</v>
      </c>
    </row>
    <row r="57" spans="1:11" x14ac:dyDescent="0.2">
      <c r="A57" s="431"/>
      <c r="B57" s="112"/>
      <c r="C57" s="6"/>
      <c r="D57" s="283"/>
      <c r="E57" s="6"/>
      <c r="F57" s="8">
        <f>C57+D57+E57</f>
        <v>0</v>
      </c>
      <c r="G57" s="8">
        <f t="shared" si="11"/>
        <v>0</v>
      </c>
      <c r="H57" s="9">
        <f t="shared" si="12"/>
        <v>38</v>
      </c>
      <c r="I57" s="122"/>
      <c r="J57" s="10">
        <f t="shared" si="10"/>
        <v>0</v>
      </c>
    </row>
    <row r="58" spans="1:11" x14ac:dyDescent="0.2">
      <c r="A58" s="431"/>
      <c r="B58" s="112"/>
      <c r="C58" s="6"/>
      <c r="D58" s="283"/>
      <c r="E58" s="6"/>
      <c r="F58" s="8">
        <f>C58+D58+E58</f>
        <v>0</v>
      </c>
      <c r="G58" s="8">
        <f t="shared" si="11"/>
        <v>0</v>
      </c>
      <c r="H58" s="9">
        <f t="shared" si="12"/>
        <v>38</v>
      </c>
      <c r="I58" s="122"/>
      <c r="J58" s="10">
        <f t="shared" si="10"/>
        <v>0</v>
      </c>
    </row>
    <row r="59" spans="1:11" x14ac:dyDescent="0.2">
      <c r="A59" s="431"/>
      <c r="B59" s="112"/>
      <c r="C59" s="6"/>
      <c r="D59" s="283"/>
      <c r="E59" s="6"/>
      <c r="F59" s="8">
        <v>0</v>
      </c>
      <c r="G59" s="8">
        <f t="shared" si="11"/>
        <v>0</v>
      </c>
      <c r="H59" s="9">
        <f t="shared" si="12"/>
        <v>38</v>
      </c>
      <c r="I59" s="122"/>
      <c r="J59" s="10">
        <f t="shared" si="10"/>
        <v>0</v>
      </c>
    </row>
    <row r="60" spans="1:11" x14ac:dyDescent="0.2">
      <c r="A60" s="431"/>
      <c r="B60" s="112"/>
      <c r="C60" s="6"/>
      <c r="D60" s="283"/>
      <c r="E60" s="6"/>
      <c r="F60" s="8">
        <f>C60+D60+E60</f>
        <v>0</v>
      </c>
      <c r="G60" s="8">
        <f t="shared" si="11"/>
        <v>0</v>
      </c>
      <c r="H60" s="9">
        <f t="shared" si="12"/>
        <v>38</v>
      </c>
      <c r="I60" s="122"/>
      <c r="J60" s="10">
        <f t="shared" si="10"/>
        <v>0</v>
      </c>
    </row>
    <row r="61" spans="1:11" x14ac:dyDescent="0.2">
      <c r="A61" s="731" t="s">
        <v>18</v>
      </c>
      <c r="B61" s="732"/>
      <c r="C61" s="272">
        <f>SUM(C54:C60)</f>
        <v>10</v>
      </c>
      <c r="D61" s="272">
        <f>SUM(D54:D60)</f>
        <v>2</v>
      </c>
      <c r="E61" s="273">
        <f>SUM(E54:E60)</f>
        <v>0</v>
      </c>
      <c r="F61" s="215">
        <f>SUM(F54:F60)</f>
        <v>12</v>
      </c>
      <c r="G61" s="8">
        <f t="shared" si="11"/>
        <v>17205000</v>
      </c>
      <c r="H61" s="9">
        <f t="shared" si="12"/>
        <v>26</v>
      </c>
      <c r="I61" s="121"/>
      <c r="J61" s="4"/>
    </row>
    <row r="62" spans="1:11" x14ac:dyDescent="0.2">
      <c r="A62" s="4"/>
      <c r="B62" s="121"/>
      <c r="C62" s="7"/>
      <c r="D62" s="7"/>
      <c r="E62" s="284"/>
      <c r="F62" s="14"/>
      <c r="G62" s="57" t="s">
        <v>46</v>
      </c>
      <c r="H62" s="9">
        <f t="shared" si="12"/>
        <v>26</v>
      </c>
      <c r="I62" s="121"/>
      <c r="J62" s="4"/>
    </row>
    <row r="64" spans="1:11" ht="15.75" x14ac:dyDescent="0.25">
      <c r="A64" s="93" t="s">
        <v>0</v>
      </c>
      <c r="B64" s="860"/>
      <c r="C64" s="860"/>
      <c r="D64" s="860"/>
      <c r="E64" s="860"/>
      <c r="F64" s="860"/>
      <c r="G64" s="860"/>
      <c r="H64" s="70" t="s">
        <v>11</v>
      </c>
      <c r="I64" s="739" t="s">
        <v>15</v>
      </c>
      <c r="J64" s="739"/>
    </row>
    <row r="65" spans="1:10" ht="14.25" x14ac:dyDescent="0.2">
      <c r="A65" s="93" t="s">
        <v>1</v>
      </c>
      <c r="B65" s="861"/>
      <c r="C65" s="861"/>
      <c r="D65" s="861"/>
      <c r="E65" s="861"/>
      <c r="F65" s="861"/>
      <c r="G65" s="861"/>
      <c r="H65" s="69">
        <v>500</v>
      </c>
      <c r="I65" s="739"/>
      <c r="J65" s="739"/>
    </row>
    <row r="66" spans="1:10" x14ac:dyDescent="0.2">
      <c r="A66" s="726" t="s">
        <v>3</v>
      </c>
      <c r="B66" s="834" t="s">
        <v>2</v>
      </c>
      <c r="C66" s="731" t="s">
        <v>19</v>
      </c>
      <c r="D66" s="837"/>
      <c r="E66" s="837"/>
      <c r="F66" s="731" t="s">
        <v>24</v>
      </c>
      <c r="G66" s="837"/>
      <c r="H66" s="84" t="s">
        <v>12</v>
      </c>
      <c r="I66" s="726" t="s">
        <v>3</v>
      </c>
      <c r="J66" s="94" t="s">
        <v>13</v>
      </c>
    </row>
    <row r="67" spans="1:10" x14ac:dyDescent="0.2">
      <c r="A67" s="726"/>
      <c r="B67" s="834"/>
      <c r="C67" s="22" t="s">
        <v>289</v>
      </c>
      <c r="D67" s="22" t="s">
        <v>290</v>
      </c>
      <c r="E67" s="22" t="s">
        <v>291</v>
      </c>
      <c r="F67" s="563" t="s">
        <v>23</v>
      </c>
      <c r="G67" s="82" t="s">
        <v>8</v>
      </c>
      <c r="H67" s="457" t="s">
        <v>9</v>
      </c>
      <c r="I67" s="726"/>
      <c r="J67" s="94" t="s">
        <v>14</v>
      </c>
    </row>
    <row r="68" spans="1:10" x14ac:dyDescent="0.2">
      <c r="A68" s="676" t="s">
        <v>182</v>
      </c>
      <c r="B68" s="677"/>
      <c r="C68" s="686">
        <v>1276500</v>
      </c>
      <c r="D68" s="686">
        <v>2200000</v>
      </c>
      <c r="E68" s="686"/>
      <c r="F68" s="687"/>
      <c r="G68" s="256"/>
      <c r="H68" s="12"/>
      <c r="I68" s="122"/>
      <c r="J68" s="4"/>
    </row>
    <row r="69" spans="1:10" x14ac:dyDescent="0.2">
      <c r="A69" s="431"/>
      <c r="B69" s="112"/>
      <c r="C69" s="6"/>
      <c r="D69" s="283"/>
      <c r="E69" s="6"/>
      <c r="F69" s="8"/>
      <c r="G69" s="8">
        <f>(C69*C$38+D69*D$38+E69*E$38)</f>
        <v>0</v>
      </c>
      <c r="H69" s="9">
        <f>H65-F69</f>
        <v>500</v>
      </c>
      <c r="I69" s="122"/>
      <c r="J69" s="10">
        <f t="shared" ref="J69:J75" si="13">I69-A69</f>
        <v>0</v>
      </c>
    </row>
    <row r="70" spans="1:10" x14ac:dyDescent="0.2">
      <c r="A70" s="431"/>
      <c r="B70" s="112"/>
      <c r="C70" s="6"/>
      <c r="D70" s="283"/>
      <c r="E70" s="6"/>
      <c r="F70" s="8">
        <f>C70+D70+E70</f>
        <v>0</v>
      </c>
      <c r="G70" s="8">
        <f t="shared" ref="G70:G76" si="14">(C70*C$38+D70*D$38+E70*E$38)</f>
        <v>0</v>
      </c>
      <c r="H70" s="9">
        <f>H69-F70</f>
        <v>500</v>
      </c>
      <c r="I70" s="124"/>
      <c r="J70" s="10">
        <f t="shared" si="13"/>
        <v>0</v>
      </c>
    </row>
    <row r="71" spans="1:10" x14ac:dyDescent="0.2">
      <c r="A71" s="431"/>
      <c r="B71" s="112"/>
      <c r="C71" s="6"/>
      <c r="D71" s="283"/>
      <c r="E71" s="6"/>
      <c r="F71" s="8">
        <f>C71+D71+E71</f>
        <v>0</v>
      </c>
      <c r="G71" s="8">
        <f t="shared" si="14"/>
        <v>0</v>
      </c>
      <c r="H71" s="9">
        <f t="shared" ref="H71:H77" si="15">H70-F71</f>
        <v>500</v>
      </c>
      <c r="I71" s="122"/>
      <c r="J71" s="15">
        <f t="shared" si="13"/>
        <v>0</v>
      </c>
    </row>
    <row r="72" spans="1:10" x14ac:dyDescent="0.2">
      <c r="A72" s="431"/>
      <c r="B72" s="112"/>
      <c r="C72" s="6"/>
      <c r="D72" s="283"/>
      <c r="E72" s="6"/>
      <c r="F72" s="8">
        <f>C72+D72+E72</f>
        <v>0</v>
      </c>
      <c r="G72" s="8">
        <f t="shared" si="14"/>
        <v>0</v>
      </c>
      <c r="H72" s="9">
        <f t="shared" si="15"/>
        <v>500</v>
      </c>
      <c r="I72" s="122"/>
      <c r="J72" s="10">
        <f t="shared" si="13"/>
        <v>0</v>
      </c>
    </row>
    <row r="73" spans="1:10" x14ac:dyDescent="0.2">
      <c r="A73" s="431"/>
      <c r="B73" s="112"/>
      <c r="C73" s="6"/>
      <c r="D73" s="283"/>
      <c r="E73" s="6"/>
      <c r="F73" s="8">
        <f>C73+D73+E73</f>
        <v>0</v>
      </c>
      <c r="G73" s="8">
        <f t="shared" si="14"/>
        <v>0</v>
      </c>
      <c r="H73" s="9">
        <f t="shared" si="15"/>
        <v>500</v>
      </c>
      <c r="I73" s="122"/>
      <c r="J73" s="10">
        <f t="shared" si="13"/>
        <v>0</v>
      </c>
    </row>
    <row r="74" spans="1:10" x14ac:dyDescent="0.2">
      <c r="A74" s="431"/>
      <c r="B74" s="112"/>
      <c r="C74" s="6"/>
      <c r="D74" s="283"/>
      <c r="E74" s="6"/>
      <c r="F74" s="8">
        <v>0</v>
      </c>
      <c r="G74" s="8">
        <f t="shared" si="14"/>
        <v>0</v>
      </c>
      <c r="H74" s="9">
        <f t="shared" si="15"/>
        <v>500</v>
      </c>
      <c r="I74" s="122"/>
      <c r="J74" s="10">
        <f t="shared" si="13"/>
        <v>0</v>
      </c>
    </row>
    <row r="75" spans="1:10" x14ac:dyDescent="0.2">
      <c r="A75" s="431"/>
      <c r="B75" s="112"/>
      <c r="C75" s="6"/>
      <c r="D75" s="283"/>
      <c r="E75" s="6"/>
      <c r="F75" s="8">
        <f>C75+D75+E75</f>
        <v>0</v>
      </c>
      <c r="G75" s="8">
        <f t="shared" si="14"/>
        <v>0</v>
      </c>
      <c r="H75" s="9">
        <f t="shared" si="15"/>
        <v>500</v>
      </c>
      <c r="I75" s="122"/>
      <c r="J75" s="10">
        <f t="shared" si="13"/>
        <v>0</v>
      </c>
    </row>
    <row r="76" spans="1:10" x14ac:dyDescent="0.2">
      <c r="A76" s="731" t="s">
        <v>18</v>
      </c>
      <c r="B76" s="732"/>
      <c r="C76" s="272">
        <f>SUM(C69:C75)</f>
        <v>0</v>
      </c>
      <c r="D76" s="272">
        <f>SUM(D69:D75)</f>
        <v>0</v>
      </c>
      <c r="E76" s="273">
        <f>SUM(E69:E75)</f>
        <v>0</v>
      </c>
      <c r="F76" s="215">
        <f>SUM(F69:F75)</f>
        <v>0</v>
      </c>
      <c r="G76" s="8">
        <f t="shared" si="14"/>
        <v>0</v>
      </c>
      <c r="H76" s="9">
        <f t="shared" si="15"/>
        <v>500</v>
      </c>
      <c r="I76" s="121"/>
      <c r="J76" s="4"/>
    </row>
    <row r="77" spans="1:10" x14ac:dyDescent="0.2">
      <c r="A77" s="4"/>
      <c r="B77" s="121"/>
      <c r="C77" s="7"/>
      <c r="D77" s="7"/>
      <c r="E77" s="284"/>
      <c r="F77" s="14"/>
      <c r="G77" s="57" t="s">
        <v>46</v>
      </c>
      <c r="H77" s="9">
        <f t="shared" si="15"/>
        <v>500</v>
      </c>
      <c r="I77" s="121"/>
      <c r="J77" s="4"/>
    </row>
    <row r="79" spans="1:10" ht="15.75" x14ac:dyDescent="0.25">
      <c r="A79" s="93" t="s">
        <v>0</v>
      </c>
      <c r="B79" s="860"/>
      <c r="C79" s="860"/>
      <c r="D79" s="860"/>
      <c r="E79" s="860"/>
      <c r="F79" s="860"/>
      <c r="G79" s="860"/>
      <c r="H79" s="70" t="s">
        <v>11</v>
      </c>
      <c r="I79" s="739" t="s">
        <v>15</v>
      </c>
      <c r="J79" s="739"/>
    </row>
    <row r="80" spans="1:10" ht="14.25" x14ac:dyDescent="0.2">
      <c r="A80" s="93" t="s">
        <v>1</v>
      </c>
      <c r="B80" s="861"/>
      <c r="C80" s="861"/>
      <c r="D80" s="861"/>
      <c r="E80" s="861"/>
      <c r="F80" s="861"/>
      <c r="G80" s="861"/>
      <c r="H80" s="69">
        <v>500</v>
      </c>
      <c r="I80" s="739"/>
      <c r="J80" s="739"/>
    </row>
    <row r="81" spans="1:10" x14ac:dyDescent="0.2">
      <c r="A81" s="726" t="s">
        <v>3</v>
      </c>
      <c r="B81" s="834" t="s">
        <v>2</v>
      </c>
      <c r="C81" s="731" t="s">
        <v>19</v>
      </c>
      <c r="D81" s="837"/>
      <c r="E81" s="837"/>
      <c r="F81" s="731" t="s">
        <v>24</v>
      </c>
      <c r="G81" s="837"/>
      <c r="H81" s="84" t="s">
        <v>12</v>
      </c>
      <c r="I81" s="726" t="s">
        <v>3</v>
      </c>
      <c r="J81" s="94" t="s">
        <v>13</v>
      </c>
    </row>
    <row r="82" spans="1:10" x14ac:dyDescent="0.2">
      <c r="A82" s="726"/>
      <c r="B82" s="834"/>
      <c r="C82" s="22" t="s">
        <v>289</v>
      </c>
      <c r="D82" s="22" t="s">
        <v>290</v>
      </c>
      <c r="E82" s="22" t="s">
        <v>291</v>
      </c>
      <c r="F82" s="563" t="s">
        <v>23</v>
      </c>
      <c r="G82" s="82" t="s">
        <v>8</v>
      </c>
      <c r="H82" s="457" t="s">
        <v>9</v>
      </c>
      <c r="I82" s="726"/>
      <c r="J82" s="94" t="s">
        <v>14</v>
      </c>
    </row>
    <row r="83" spans="1:10" x14ac:dyDescent="0.2">
      <c r="A83" s="676" t="s">
        <v>182</v>
      </c>
      <c r="B83" s="677"/>
      <c r="C83" s="686">
        <v>1276500</v>
      </c>
      <c r="D83" s="686">
        <v>2200000</v>
      </c>
      <c r="E83" s="686"/>
      <c r="F83" s="687"/>
      <c r="G83" s="256"/>
      <c r="H83" s="12"/>
      <c r="I83" s="122"/>
      <c r="J83" s="4"/>
    </row>
    <row r="84" spans="1:10" x14ac:dyDescent="0.2">
      <c r="A84" s="431"/>
      <c r="B84" s="112"/>
      <c r="C84" s="6"/>
      <c r="D84" s="283"/>
      <c r="E84" s="6"/>
      <c r="F84" s="8">
        <f>C84+D84+E84</f>
        <v>0</v>
      </c>
      <c r="G84" s="8">
        <f>(C84*C$53+D84*D$53+E84*E$53)</f>
        <v>0</v>
      </c>
      <c r="H84" s="9">
        <f>H80-F84</f>
        <v>500</v>
      </c>
      <c r="I84" s="122"/>
      <c r="J84" s="10">
        <f t="shared" ref="J84:J90" si="16">I84-A84</f>
        <v>0</v>
      </c>
    </row>
    <row r="85" spans="1:10" x14ac:dyDescent="0.2">
      <c r="A85" s="431"/>
      <c r="B85" s="112"/>
      <c r="C85" s="6"/>
      <c r="D85" s="283"/>
      <c r="E85" s="6"/>
      <c r="F85" s="8">
        <f>C85+D85+E85</f>
        <v>0</v>
      </c>
      <c r="G85" s="8">
        <f t="shared" ref="G85:G91" si="17">(C85*C$53+D85*D$53+E85*E$53)</f>
        <v>0</v>
      </c>
      <c r="H85" s="9">
        <f>H84-F85</f>
        <v>500</v>
      </c>
      <c r="I85" s="124"/>
      <c r="J85" s="10">
        <f t="shared" si="16"/>
        <v>0</v>
      </c>
    </row>
    <row r="86" spans="1:10" x14ac:dyDescent="0.2">
      <c r="A86" s="431"/>
      <c r="B86" s="112"/>
      <c r="C86" s="6"/>
      <c r="D86" s="283"/>
      <c r="E86" s="6"/>
      <c r="F86" s="8">
        <f>C86+D86+E86</f>
        <v>0</v>
      </c>
      <c r="G86" s="8">
        <f t="shared" si="17"/>
        <v>0</v>
      </c>
      <c r="H86" s="9">
        <f t="shared" ref="H86:H92" si="18">H85-F86</f>
        <v>500</v>
      </c>
      <c r="I86" s="122"/>
      <c r="J86" s="15">
        <f t="shared" si="16"/>
        <v>0</v>
      </c>
    </row>
    <row r="87" spans="1:10" x14ac:dyDescent="0.2">
      <c r="A87" s="431"/>
      <c r="B87" s="112"/>
      <c r="C87" s="6"/>
      <c r="D87" s="283"/>
      <c r="E87" s="6"/>
      <c r="F87" s="8">
        <f>C87+D87+E87</f>
        <v>0</v>
      </c>
      <c r="G87" s="8">
        <f t="shared" si="17"/>
        <v>0</v>
      </c>
      <c r="H87" s="9">
        <f t="shared" si="18"/>
        <v>500</v>
      </c>
      <c r="I87" s="122"/>
      <c r="J87" s="10">
        <f t="shared" si="16"/>
        <v>0</v>
      </c>
    </row>
    <row r="88" spans="1:10" x14ac:dyDescent="0.2">
      <c r="A88" s="431"/>
      <c r="B88" s="112"/>
      <c r="C88" s="6"/>
      <c r="D88" s="283"/>
      <c r="E88" s="6"/>
      <c r="F88" s="8">
        <f>C88+D88+E88</f>
        <v>0</v>
      </c>
      <c r="G88" s="8">
        <f t="shared" si="17"/>
        <v>0</v>
      </c>
      <c r="H88" s="9">
        <f t="shared" si="18"/>
        <v>500</v>
      </c>
      <c r="I88" s="122"/>
      <c r="J88" s="10">
        <f t="shared" si="16"/>
        <v>0</v>
      </c>
    </row>
    <row r="89" spans="1:10" x14ac:dyDescent="0.2">
      <c r="A89" s="431"/>
      <c r="B89" s="112"/>
      <c r="C89" s="6"/>
      <c r="D89" s="283"/>
      <c r="E89" s="6"/>
      <c r="F89" s="8">
        <v>0</v>
      </c>
      <c r="G89" s="8">
        <f t="shared" si="17"/>
        <v>0</v>
      </c>
      <c r="H89" s="9">
        <f t="shared" si="18"/>
        <v>500</v>
      </c>
      <c r="I89" s="122"/>
      <c r="J89" s="10">
        <f t="shared" si="16"/>
        <v>0</v>
      </c>
    </row>
    <row r="90" spans="1:10" x14ac:dyDescent="0.2">
      <c r="A90" s="431"/>
      <c r="B90" s="112"/>
      <c r="C90" s="6"/>
      <c r="D90" s="283"/>
      <c r="E90" s="6"/>
      <c r="F90" s="8">
        <f>C90+D90+E90</f>
        <v>0</v>
      </c>
      <c r="G90" s="8">
        <f t="shared" si="17"/>
        <v>0</v>
      </c>
      <c r="H90" s="9">
        <f t="shared" si="18"/>
        <v>500</v>
      </c>
      <c r="I90" s="122"/>
      <c r="J90" s="10">
        <f t="shared" si="16"/>
        <v>0</v>
      </c>
    </row>
    <row r="91" spans="1:10" x14ac:dyDescent="0.2">
      <c r="A91" s="731" t="s">
        <v>18</v>
      </c>
      <c r="B91" s="732"/>
      <c r="C91" s="272">
        <f>SUM(C84:C90)</f>
        <v>0</v>
      </c>
      <c r="D91" s="272">
        <f>SUM(D84:D90)</f>
        <v>0</v>
      </c>
      <c r="E91" s="273">
        <f>SUM(E84:E90)</f>
        <v>0</v>
      </c>
      <c r="F91" s="215">
        <f>SUM(F84:F90)</f>
        <v>0</v>
      </c>
      <c r="G91" s="8">
        <f t="shared" si="17"/>
        <v>0</v>
      </c>
      <c r="H91" s="9">
        <f t="shared" si="18"/>
        <v>500</v>
      </c>
      <c r="I91" s="121"/>
      <c r="J91" s="4"/>
    </row>
    <row r="92" spans="1:10" x14ac:dyDescent="0.2">
      <c r="A92" s="4"/>
      <c r="B92" s="121"/>
      <c r="C92" s="7"/>
      <c r="D92" s="7"/>
      <c r="E92" s="284"/>
      <c r="F92" s="14"/>
      <c r="G92" s="57" t="s">
        <v>46</v>
      </c>
      <c r="H92" s="9">
        <f t="shared" si="18"/>
        <v>500</v>
      </c>
      <c r="I92" s="121"/>
      <c r="J92" s="4"/>
    </row>
    <row r="93" spans="1:10" x14ac:dyDescent="0.2">
      <c r="A93" s="73"/>
      <c r="B93" s="73"/>
      <c r="C93" s="73"/>
      <c r="D93" s="73"/>
      <c r="E93" s="73"/>
      <c r="F93" s="358"/>
      <c r="G93" s="71"/>
    </row>
    <row r="94" spans="1:10" x14ac:dyDescent="0.2">
      <c r="A94" s="73"/>
      <c r="B94" s="73"/>
      <c r="C94" s="73"/>
      <c r="D94" s="73"/>
      <c r="E94" s="73"/>
      <c r="F94" s="358"/>
      <c r="G94" s="71"/>
    </row>
    <row r="95" spans="1:10" x14ac:dyDescent="0.2">
      <c r="A95" s="73"/>
      <c r="B95" s="73"/>
      <c r="C95" s="73"/>
      <c r="D95" s="73"/>
      <c r="E95" s="73"/>
      <c r="F95" s="358"/>
      <c r="G95" s="71"/>
    </row>
    <row r="96" spans="1:10" x14ac:dyDescent="0.2">
      <c r="A96" s="862" t="s">
        <v>293</v>
      </c>
      <c r="B96" s="862"/>
      <c r="C96" s="862"/>
      <c r="D96" s="862"/>
      <c r="E96" s="862"/>
      <c r="F96" s="358">
        <f>H4</f>
        <v>150</v>
      </c>
      <c r="G96" s="71"/>
    </row>
    <row r="97" spans="1:7" x14ac:dyDescent="0.2">
      <c r="F97" s="32"/>
    </row>
    <row r="98" spans="1:7" x14ac:dyDescent="0.2">
      <c r="A98" s="784" t="s">
        <v>114</v>
      </c>
      <c r="B98" s="784"/>
      <c r="C98" s="784"/>
      <c r="D98" s="784"/>
      <c r="E98" s="784"/>
      <c r="F98" s="77">
        <f>F16</f>
        <v>25</v>
      </c>
    </row>
    <row r="99" spans="1:7" x14ac:dyDescent="0.2">
      <c r="F99" s="32"/>
    </row>
    <row r="100" spans="1:7" x14ac:dyDescent="0.2">
      <c r="A100" s="830" t="s">
        <v>113</v>
      </c>
      <c r="B100" s="830"/>
      <c r="C100" s="830"/>
      <c r="D100" s="830"/>
      <c r="E100" s="830"/>
      <c r="F100" s="60">
        <f>F96-F98</f>
        <v>125</v>
      </c>
    </row>
    <row r="101" spans="1:7" x14ac:dyDescent="0.2">
      <c r="F101" s="32"/>
    </row>
    <row r="102" spans="1:7" x14ac:dyDescent="0.2">
      <c r="A102" s="748" t="s">
        <v>50</v>
      </c>
      <c r="B102" s="748"/>
      <c r="C102" s="748"/>
      <c r="D102" s="748"/>
      <c r="E102" s="748"/>
      <c r="F102" s="61">
        <f>F98/F96%</f>
        <v>16.666666666666668</v>
      </c>
    </row>
    <row r="103" spans="1:7" x14ac:dyDescent="0.2">
      <c r="A103" s="73"/>
      <c r="B103" s="127"/>
      <c r="C103" s="73"/>
      <c r="D103" s="73"/>
      <c r="E103" s="73"/>
      <c r="F103" s="66"/>
    </row>
    <row r="104" spans="1:7" x14ac:dyDescent="0.2">
      <c r="A104" s="68" t="s">
        <v>51</v>
      </c>
      <c r="B104" s="128"/>
      <c r="C104" s="68"/>
      <c r="D104" s="68"/>
      <c r="E104" s="68"/>
      <c r="F104" s="61">
        <f>F100/F96%</f>
        <v>83.333333333333329</v>
      </c>
    </row>
    <row r="105" spans="1:7" x14ac:dyDescent="0.2">
      <c r="F105" s="32"/>
    </row>
    <row r="106" spans="1:7" x14ac:dyDescent="0.2">
      <c r="A106" s="75" t="s">
        <v>53</v>
      </c>
      <c r="B106" s="133"/>
      <c r="C106" s="75"/>
      <c r="D106" s="75"/>
      <c r="E106" s="75"/>
      <c r="F106" s="360" t="e">
        <f>#REF!</f>
        <v>#REF!</v>
      </c>
      <c r="G106" s="357"/>
    </row>
    <row r="108" spans="1:7" x14ac:dyDescent="0.2">
      <c r="A108" s="791" t="s">
        <v>118</v>
      </c>
      <c r="B108" s="791"/>
      <c r="C108" s="791"/>
      <c r="D108" s="791"/>
      <c r="E108" s="791"/>
      <c r="F108" s="792">
        <f>G16</f>
        <v>55500000</v>
      </c>
      <c r="G108" s="792"/>
    </row>
  </sheetData>
  <mergeCells count="58">
    <mergeCell ref="F108:G108"/>
    <mergeCell ref="A91:B91"/>
    <mergeCell ref="A96:E96"/>
    <mergeCell ref="A98:E98"/>
    <mergeCell ref="A100:E100"/>
    <mergeCell ref="A102:E102"/>
    <mergeCell ref="A108:E108"/>
    <mergeCell ref="A76:B76"/>
    <mergeCell ref="B79:G79"/>
    <mergeCell ref="I79:J80"/>
    <mergeCell ref="B80:G80"/>
    <mergeCell ref="A81:A82"/>
    <mergeCell ref="B81:B82"/>
    <mergeCell ref="C81:E81"/>
    <mergeCell ref="F81:G81"/>
    <mergeCell ref="I81:I82"/>
    <mergeCell ref="A61:B61"/>
    <mergeCell ref="B64:G64"/>
    <mergeCell ref="I64:J65"/>
    <mergeCell ref="B65:G65"/>
    <mergeCell ref="A66:A67"/>
    <mergeCell ref="B66:B67"/>
    <mergeCell ref="C66:E66"/>
    <mergeCell ref="F66:G66"/>
    <mergeCell ref="I66:I67"/>
    <mergeCell ref="A46:B46"/>
    <mergeCell ref="B49:G49"/>
    <mergeCell ref="I49:J50"/>
    <mergeCell ref="B50:G50"/>
    <mergeCell ref="A51:A52"/>
    <mergeCell ref="B51:B52"/>
    <mergeCell ref="C51:E51"/>
    <mergeCell ref="F51:G51"/>
    <mergeCell ref="I51:I52"/>
    <mergeCell ref="B34:G34"/>
    <mergeCell ref="I34:J35"/>
    <mergeCell ref="B35:G35"/>
    <mergeCell ref="A36:A37"/>
    <mergeCell ref="B36:B37"/>
    <mergeCell ref="C36:E36"/>
    <mergeCell ref="F36:G36"/>
    <mergeCell ref="I36:I37"/>
    <mergeCell ref="I5:I6"/>
    <mergeCell ref="A16:B16"/>
    <mergeCell ref="I19:J20"/>
    <mergeCell ref="A21:A22"/>
    <mergeCell ref="I21:I22"/>
    <mergeCell ref="A31:B31"/>
    <mergeCell ref="B3:G3"/>
    <mergeCell ref="B4:G4"/>
    <mergeCell ref="B19:G19"/>
    <mergeCell ref="B20:G20"/>
    <mergeCell ref="A1:J1"/>
    <mergeCell ref="A2:J2"/>
    <mergeCell ref="I3:J4"/>
    <mergeCell ref="A5:A6"/>
    <mergeCell ref="B5:B6"/>
    <mergeCell ref="C5:E5"/>
  </mergeCells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62C25-5237-49A8-AB43-62A860ACFB88}">
  <dimension ref="A1:N59"/>
  <sheetViews>
    <sheetView topLeftCell="A15" workbookViewId="0">
      <selection activeCell="J29" sqref="J29"/>
    </sheetView>
  </sheetViews>
  <sheetFormatPr defaultRowHeight="12.75" x14ac:dyDescent="0.2"/>
  <cols>
    <col min="1" max="1" width="8.7109375" customWidth="1"/>
    <col min="2" max="2" width="7.85546875" style="123" customWidth="1"/>
    <col min="3" max="4" width="9.28515625" customWidth="1"/>
    <col min="5" max="5" width="8.7109375" customWidth="1"/>
    <col min="6" max="6" width="8.85546875" customWidth="1"/>
    <col min="7" max="7" width="12.5703125" customWidth="1"/>
    <col min="8" max="8" width="8.5703125" customWidth="1"/>
    <col min="9" max="9" width="9.5703125" customWidth="1"/>
    <col min="10" max="10" width="9.28515625" style="123" customWidth="1"/>
    <col min="11" max="11" width="7" customWidth="1"/>
    <col min="12" max="12" width="14.140625" customWidth="1"/>
  </cols>
  <sheetData>
    <row r="1" spans="1:12" ht="18" x14ac:dyDescent="0.25">
      <c r="A1" s="835" t="s">
        <v>232</v>
      </c>
      <c r="B1" s="835"/>
      <c r="C1" s="835"/>
      <c r="D1" s="835"/>
      <c r="E1" s="835"/>
      <c r="F1" s="835"/>
      <c r="G1" s="835"/>
      <c r="H1" s="835"/>
      <c r="I1" s="835"/>
      <c r="J1" s="835"/>
      <c r="K1" s="835"/>
      <c r="L1" s="71"/>
    </row>
    <row r="2" spans="1:12" ht="26.25" x14ac:dyDescent="0.2">
      <c r="A2" s="794" t="str">
        <f>GDSL!A2</f>
        <v>TAHUN 2026</v>
      </c>
      <c r="B2" s="794"/>
      <c r="C2" s="794"/>
      <c r="D2" s="794"/>
      <c r="E2" s="794"/>
      <c r="F2" s="794"/>
      <c r="G2" s="794"/>
      <c r="H2" s="794"/>
      <c r="I2" s="794"/>
      <c r="J2" s="794"/>
      <c r="K2" s="794"/>
      <c r="L2" s="71"/>
    </row>
    <row r="3" spans="1:12" ht="15" x14ac:dyDescent="0.25">
      <c r="A3" s="93" t="s">
        <v>0</v>
      </c>
      <c r="B3" s="832" t="s">
        <v>264</v>
      </c>
      <c r="C3" s="832"/>
      <c r="D3" s="832"/>
      <c r="E3" s="832"/>
      <c r="F3" s="832"/>
      <c r="G3" s="832"/>
      <c r="H3" s="832"/>
      <c r="I3" s="70" t="s">
        <v>11</v>
      </c>
      <c r="J3" s="739" t="s">
        <v>15</v>
      </c>
      <c r="K3" s="739"/>
      <c r="L3" s="707">
        <v>46077</v>
      </c>
    </row>
    <row r="4" spans="1:12" x14ac:dyDescent="0.2">
      <c r="A4" s="93" t="s">
        <v>1</v>
      </c>
      <c r="B4" s="864" t="s">
        <v>222</v>
      </c>
      <c r="C4" s="864"/>
      <c r="D4" s="864"/>
      <c r="E4" s="864"/>
      <c r="F4" s="864"/>
      <c r="G4" s="864"/>
      <c r="H4" s="864"/>
      <c r="I4" s="69">
        <v>50</v>
      </c>
      <c r="J4" s="739"/>
      <c r="K4" s="739"/>
    </row>
    <row r="5" spans="1:12" x14ac:dyDescent="0.2">
      <c r="A5" s="726" t="s">
        <v>3</v>
      </c>
      <c r="B5" s="834" t="s">
        <v>2</v>
      </c>
      <c r="C5" s="731" t="s">
        <v>19</v>
      </c>
      <c r="D5" s="837"/>
      <c r="E5" s="837"/>
      <c r="F5" s="731" t="s">
        <v>24</v>
      </c>
      <c r="G5" s="837"/>
      <c r="H5" s="732"/>
      <c r="I5" s="84" t="s">
        <v>12</v>
      </c>
      <c r="J5" s="726" t="s">
        <v>3</v>
      </c>
      <c r="K5" s="94" t="s">
        <v>13</v>
      </c>
    </row>
    <row r="6" spans="1:12" x14ac:dyDescent="0.2">
      <c r="A6" s="726"/>
      <c r="B6" s="834"/>
      <c r="C6" s="4" t="s">
        <v>43</v>
      </c>
      <c r="D6" s="4" t="s">
        <v>45</v>
      </c>
      <c r="E6" s="4" t="s">
        <v>42</v>
      </c>
      <c r="F6" s="563" t="s">
        <v>9</v>
      </c>
      <c r="G6" s="82" t="s">
        <v>8</v>
      </c>
      <c r="H6" s="563" t="s">
        <v>23</v>
      </c>
      <c r="I6" s="67" t="s">
        <v>33</v>
      </c>
      <c r="J6" s="726"/>
      <c r="K6" s="94" t="s">
        <v>14</v>
      </c>
    </row>
    <row r="7" spans="1:12" x14ac:dyDescent="0.2">
      <c r="A7" s="676" t="s">
        <v>182</v>
      </c>
      <c r="B7" s="677">
        <v>45931</v>
      </c>
      <c r="C7" s="686">
        <v>4218000</v>
      </c>
      <c r="D7" s="686">
        <v>6549000</v>
      </c>
      <c r="E7" s="686">
        <v>9630360</v>
      </c>
      <c r="F7" s="687">
        <v>0.95</v>
      </c>
      <c r="G7" s="256"/>
      <c r="H7" s="43"/>
      <c r="I7" s="12"/>
      <c r="J7" s="122"/>
      <c r="K7" s="4"/>
    </row>
    <row r="8" spans="1:12" x14ac:dyDescent="0.2">
      <c r="A8" s="431"/>
      <c r="B8" s="112"/>
      <c r="C8" s="6"/>
      <c r="D8" s="283"/>
      <c r="E8" s="6"/>
      <c r="F8" s="703">
        <f>C8*2.5+D8*4*E8*6</f>
        <v>0</v>
      </c>
      <c r="G8" s="8">
        <f>(C8*C$7+D8*D$7+E8*E$7)*F$7</f>
        <v>0</v>
      </c>
      <c r="H8" s="14">
        <f>C8+D8+E8</f>
        <v>0</v>
      </c>
      <c r="I8" s="9">
        <f>I4-H8</f>
        <v>50</v>
      </c>
      <c r="J8" s="122"/>
      <c r="K8" s="10">
        <f t="shared" ref="K8:K20" si="0">J8-A8</f>
        <v>0</v>
      </c>
    </row>
    <row r="9" spans="1:12" x14ac:dyDescent="0.2">
      <c r="A9" s="431"/>
      <c r="B9" s="112"/>
      <c r="C9" s="6"/>
      <c r="D9" s="283"/>
      <c r="E9" s="6"/>
      <c r="F9" s="703">
        <f t="shared" ref="F9:F20" si="1">C9*2.5+D9*4*E9*6</f>
        <v>0</v>
      </c>
      <c r="G9" s="8">
        <f t="shared" ref="G9:G20" si="2">(C9*C$7+D9*D$7+E9*E$7)*F$7</f>
        <v>0</v>
      </c>
      <c r="H9" s="14">
        <f t="shared" ref="H9:H20" si="3">C9+D9+E9</f>
        <v>0</v>
      </c>
      <c r="I9" s="9">
        <f t="shared" ref="I9:I20" si="4">I8-H9</f>
        <v>50</v>
      </c>
      <c r="J9" s="122"/>
      <c r="K9" s="10">
        <f t="shared" si="0"/>
        <v>0</v>
      </c>
    </row>
    <row r="10" spans="1:12" x14ac:dyDescent="0.2">
      <c r="A10" s="431"/>
      <c r="B10" s="438"/>
      <c r="C10" s="6"/>
      <c r="D10" s="283"/>
      <c r="E10" s="6"/>
      <c r="F10" s="703">
        <f t="shared" si="1"/>
        <v>0</v>
      </c>
      <c r="G10" s="8">
        <f t="shared" si="2"/>
        <v>0</v>
      </c>
      <c r="H10" s="14">
        <f t="shared" si="3"/>
        <v>0</v>
      </c>
      <c r="I10" s="9">
        <f t="shared" si="4"/>
        <v>50</v>
      </c>
      <c r="J10" s="122"/>
      <c r="K10" s="15">
        <f t="shared" si="0"/>
        <v>0</v>
      </c>
    </row>
    <row r="11" spans="1:12" x14ac:dyDescent="0.2">
      <c r="A11" s="431"/>
      <c r="B11" s="112"/>
      <c r="C11" s="6"/>
      <c r="D11" s="283"/>
      <c r="E11" s="6"/>
      <c r="F11" s="703">
        <f t="shared" si="1"/>
        <v>0</v>
      </c>
      <c r="G11" s="8">
        <f t="shared" si="2"/>
        <v>0</v>
      </c>
      <c r="H11" s="14">
        <f t="shared" si="3"/>
        <v>0</v>
      </c>
      <c r="I11" s="9">
        <f t="shared" si="4"/>
        <v>50</v>
      </c>
      <c r="J11" s="122"/>
      <c r="K11" s="10">
        <f t="shared" si="0"/>
        <v>0</v>
      </c>
    </row>
    <row r="12" spans="1:12" x14ac:dyDescent="0.2">
      <c r="A12" s="431"/>
      <c r="B12" s="112"/>
      <c r="C12" s="6"/>
      <c r="D12" s="283"/>
      <c r="E12" s="6"/>
      <c r="F12" s="703">
        <f t="shared" si="1"/>
        <v>0</v>
      </c>
      <c r="G12" s="8">
        <f t="shared" si="2"/>
        <v>0</v>
      </c>
      <c r="H12" s="14">
        <f t="shared" si="3"/>
        <v>0</v>
      </c>
      <c r="I12" s="9">
        <f t="shared" si="4"/>
        <v>50</v>
      </c>
      <c r="J12" s="122"/>
      <c r="K12" s="10">
        <f t="shared" si="0"/>
        <v>0</v>
      </c>
    </row>
    <row r="13" spans="1:12" x14ac:dyDescent="0.2">
      <c r="A13" s="431"/>
      <c r="B13" s="112"/>
      <c r="C13" s="6"/>
      <c r="D13" s="283"/>
      <c r="E13" s="6"/>
      <c r="F13" s="703">
        <f t="shared" si="1"/>
        <v>0</v>
      </c>
      <c r="G13" s="8">
        <f t="shared" si="2"/>
        <v>0</v>
      </c>
      <c r="H13" s="14">
        <f t="shared" si="3"/>
        <v>0</v>
      </c>
      <c r="I13" s="9">
        <f t="shared" si="4"/>
        <v>50</v>
      </c>
      <c r="J13" s="122"/>
      <c r="K13" s="10">
        <f t="shared" si="0"/>
        <v>0</v>
      </c>
    </row>
    <row r="14" spans="1:12" x14ac:dyDescent="0.2">
      <c r="A14" s="431"/>
      <c r="B14" s="112"/>
      <c r="C14" s="6"/>
      <c r="D14" s="283"/>
      <c r="E14" s="6"/>
      <c r="F14" s="703">
        <f t="shared" si="1"/>
        <v>0</v>
      </c>
      <c r="G14" s="8">
        <f t="shared" si="2"/>
        <v>0</v>
      </c>
      <c r="H14" s="14">
        <f t="shared" si="3"/>
        <v>0</v>
      </c>
      <c r="I14" s="9">
        <f t="shared" si="4"/>
        <v>50</v>
      </c>
      <c r="J14" s="122"/>
      <c r="K14" s="10">
        <f t="shared" si="0"/>
        <v>0</v>
      </c>
    </row>
    <row r="15" spans="1:12" x14ac:dyDescent="0.2">
      <c r="A15" s="431"/>
      <c r="B15" s="112"/>
      <c r="C15" s="6"/>
      <c r="D15" s="283"/>
      <c r="E15" s="6"/>
      <c r="F15" s="703">
        <f t="shared" si="1"/>
        <v>0</v>
      </c>
      <c r="G15" s="8">
        <f t="shared" si="2"/>
        <v>0</v>
      </c>
      <c r="H15" s="14">
        <f t="shared" si="3"/>
        <v>0</v>
      </c>
      <c r="I15" s="9">
        <f t="shared" si="4"/>
        <v>50</v>
      </c>
      <c r="J15" s="122"/>
      <c r="K15" s="10">
        <f t="shared" si="0"/>
        <v>0</v>
      </c>
    </row>
    <row r="16" spans="1:12" x14ac:dyDescent="0.2">
      <c r="A16" s="431"/>
      <c r="B16" s="112"/>
      <c r="C16" s="6"/>
      <c r="D16" s="283"/>
      <c r="E16" s="6"/>
      <c r="F16" s="703">
        <f t="shared" si="1"/>
        <v>0</v>
      </c>
      <c r="G16" s="8">
        <f t="shared" si="2"/>
        <v>0</v>
      </c>
      <c r="H16" s="14">
        <f t="shared" si="3"/>
        <v>0</v>
      </c>
      <c r="I16" s="9">
        <f t="shared" si="4"/>
        <v>50</v>
      </c>
      <c r="J16" s="122"/>
      <c r="K16" s="10">
        <f t="shared" si="0"/>
        <v>0</v>
      </c>
    </row>
    <row r="17" spans="1:12" x14ac:dyDescent="0.2">
      <c r="A17" s="431"/>
      <c r="B17" s="112"/>
      <c r="C17" s="6"/>
      <c r="D17" s="283"/>
      <c r="E17" s="6"/>
      <c r="F17" s="703">
        <f t="shared" si="1"/>
        <v>0</v>
      </c>
      <c r="G17" s="8">
        <f t="shared" si="2"/>
        <v>0</v>
      </c>
      <c r="H17" s="14">
        <f t="shared" si="3"/>
        <v>0</v>
      </c>
      <c r="I17" s="9">
        <f t="shared" si="4"/>
        <v>50</v>
      </c>
      <c r="J17" s="122"/>
      <c r="K17" s="10">
        <f t="shared" si="0"/>
        <v>0</v>
      </c>
    </row>
    <row r="18" spans="1:12" x14ac:dyDescent="0.2">
      <c r="A18" s="431"/>
      <c r="B18" s="112"/>
      <c r="C18" s="6"/>
      <c r="D18" s="283"/>
      <c r="E18" s="6"/>
      <c r="F18" s="703">
        <f t="shared" si="1"/>
        <v>0</v>
      </c>
      <c r="G18" s="8">
        <f t="shared" si="2"/>
        <v>0</v>
      </c>
      <c r="H18" s="14">
        <f t="shared" si="3"/>
        <v>0</v>
      </c>
      <c r="I18" s="9">
        <f t="shared" si="4"/>
        <v>50</v>
      </c>
      <c r="J18" s="122"/>
      <c r="K18" s="10">
        <f t="shared" si="0"/>
        <v>0</v>
      </c>
    </row>
    <row r="19" spans="1:12" x14ac:dyDescent="0.2">
      <c r="A19" s="431"/>
      <c r="B19" s="112"/>
      <c r="C19" s="6"/>
      <c r="D19" s="283"/>
      <c r="E19" s="6"/>
      <c r="F19" s="703">
        <f t="shared" si="1"/>
        <v>0</v>
      </c>
      <c r="G19" s="8">
        <f t="shared" si="2"/>
        <v>0</v>
      </c>
      <c r="H19" s="14">
        <f t="shared" si="3"/>
        <v>0</v>
      </c>
      <c r="I19" s="9">
        <f t="shared" si="4"/>
        <v>50</v>
      </c>
      <c r="J19" s="122"/>
      <c r="K19" s="10">
        <f t="shared" si="0"/>
        <v>0</v>
      </c>
    </row>
    <row r="20" spans="1:12" x14ac:dyDescent="0.2">
      <c r="A20" s="431"/>
      <c r="B20" s="112"/>
      <c r="C20" s="6"/>
      <c r="D20" s="283"/>
      <c r="E20" s="6"/>
      <c r="F20" s="703">
        <f t="shared" si="1"/>
        <v>0</v>
      </c>
      <c r="G20" s="8">
        <f t="shared" si="2"/>
        <v>0</v>
      </c>
      <c r="H20" s="14">
        <f t="shared" si="3"/>
        <v>0</v>
      </c>
      <c r="I20" s="9">
        <f t="shared" si="4"/>
        <v>50</v>
      </c>
      <c r="J20" s="122"/>
      <c r="K20" s="10">
        <f t="shared" si="0"/>
        <v>0</v>
      </c>
    </row>
    <row r="21" spans="1:12" x14ac:dyDescent="0.2">
      <c r="A21" s="731" t="s">
        <v>18</v>
      </c>
      <c r="B21" s="732"/>
      <c r="C21" s="272">
        <f t="shared" ref="C21:H21" si="5">SUM(C8:C20)</f>
        <v>0</v>
      </c>
      <c r="D21" s="272">
        <f t="shared" si="5"/>
        <v>0</v>
      </c>
      <c r="E21" s="273">
        <f t="shared" si="5"/>
        <v>0</v>
      </c>
      <c r="F21" s="704">
        <f t="shared" si="5"/>
        <v>0</v>
      </c>
      <c r="G21" s="79">
        <f t="shared" si="5"/>
        <v>0</v>
      </c>
      <c r="H21" s="564">
        <f t="shared" si="5"/>
        <v>0</v>
      </c>
      <c r="I21" s="9">
        <f>I4-H21</f>
        <v>50</v>
      </c>
      <c r="J21" s="121"/>
      <c r="K21" s="4"/>
    </row>
    <row r="22" spans="1:12" x14ac:dyDescent="0.2">
      <c r="A22" s="4"/>
      <c r="B22" s="121"/>
      <c r="C22" s="7"/>
      <c r="D22" s="7"/>
      <c r="E22" s="284"/>
      <c r="F22" s="14"/>
      <c r="G22" s="57" t="s">
        <v>46</v>
      </c>
      <c r="H22" s="64">
        <f>H21/I4%</f>
        <v>0</v>
      </c>
      <c r="I22" s="568">
        <f>I21/I4%</f>
        <v>100</v>
      </c>
      <c r="J22" s="121"/>
      <c r="K22" s="4"/>
    </row>
    <row r="23" spans="1:12" x14ac:dyDescent="0.2">
      <c r="A23" s="16"/>
      <c r="B23" s="125"/>
      <c r="C23" s="17"/>
      <c r="D23" s="17"/>
      <c r="E23" s="18"/>
      <c r="F23" s="23"/>
      <c r="G23" s="106"/>
      <c r="H23" s="107"/>
      <c r="I23" s="108"/>
      <c r="J23" s="125"/>
      <c r="K23" s="16"/>
    </row>
    <row r="24" spans="1:12" ht="15" x14ac:dyDescent="0.25">
      <c r="A24" s="93" t="s">
        <v>0</v>
      </c>
      <c r="B24" s="832" t="s">
        <v>264</v>
      </c>
      <c r="C24" s="832"/>
      <c r="D24" s="832"/>
      <c r="E24" s="832"/>
      <c r="F24" s="832"/>
      <c r="G24" s="832"/>
      <c r="H24" s="832"/>
      <c r="I24" s="70" t="s">
        <v>11</v>
      </c>
      <c r="J24" s="739" t="s">
        <v>15</v>
      </c>
      <c r="K24" s="739"/>
      <c r="L24" s="705">
        <v>46062</v>
      </c>
    </row>
    <row r="25" spans="1:12" x14ac:dyDescent="0.2">
      <c r="A25" s="93" t="s">
        <v>1</v>
      </c>
      <c r="B25" s="864" t="s">
        <v>265</v>
      </c>
      <c r="C25" s="864"/>
      <c r="D25" s="864"/>
      <c r="E25" s="864"/>
      <c r="F25" s="864"/>
      <c r="G25" s="864"/>
      <c r="H25" s="864"/>
      <c r="I25" s="69">
        <v>100</v>
      </c>
      <c r="J25" s="739"/>
      <c r="K25" s="739"/>
    </row>
    <row r="26" spans="1:12" x14ac:dyDescent="0.2">
      <c r="A26" s="726" t="s">
        <v>3</v>
      </c>
      <c r="B26" s="834" t="s">
        <v>2</v>
      </c>
      <c r="C26" s="731" t="s">
        <v>19</v>
      </c>
      <c r="D26" s="837"/>
      <c r="E26" s="837"/>
      <c r="F26" s="731" t="s">
        <v>24</v>
      </c>
      <c r="G26" s="837"/>
      <c r="H26" s="732"/>
      <c r="I26" s="84" t="s">
        <v>12</v>
      </c>
      <c r="J26" s="726" t="s">
        <v>3</v>
      </c>
      <c r="K26" s="94" t="s">
        <v>13</v>
      </c>
    </row>
    <row r="27" spans="1:12" x14ac:dyDescent="0.2">
      <c r="A27" s="726"/>
      <c r="B27" s="834"/>
      <c r="C27" s="4" t="s">
        <v>43</v>
      </c>
      <c r="D27" s="4" t="s">
        <v>45</v>
      </c>
      <c r="E27" s="4" t="s">
        <v>42</v>
      </c>
      <c r="F27" s="563" t="s">
        <v>9</v>
      </c>
      <c r="G27" s="82" t="s">
        <v>8</v>
      </c>
      <c r="H27" s="563" t="s">
        <v>23</v>
      </c>
      <c r="I27" s="67" t="s">
        <v>33</v>
      </c>
      <c r="J27" s="726"/>
      <c r="K27" s="94" t="s">
        <v>14</v>
      </c>
    </row>
    <row r="28" spans="1:12" x14ac:dyDescent="0.2">
      <c r="A28" s="676" t="s">
        <v>182</v>
      </c>
      <c r="B28" s="677">
        <v>45931</v>
      </c>
      <c r="C28" s="686">
        <v>4218000</v>
      </c>
      <c r="D28" s="686">
        <v>6549000</v>
      </c>
      <c r="E28" s="686">
        <v>9630360</v>
      </c>
      <c r="F28" s="687">
        <v>0.95</v>
      </c>
      <c r="G28" s="687"/>
      <c r="H28" s="43"/>
      <c r="I28" s="12"/>
      <c r="J28" s="122"/>
      <c r="K28" s="4"/>
    </row>
    <row r="29" spans="1:12" x14ac:dyDescent="0.2">
      <c r="A29" s="431"/>
      <c r="B29" s="435"/>
      <c r="C29" s="6"/>
      <c r="D29" s="283"/>
      <c r="E29" s="6"/>
      <c r="F29" s="8">
        <f t="shared" ref="F29:F40" si="6">C29*2.5+D29*4+E29*6</f>
        <v>0</v>
      </c>
      <c r="G29" s="8">
        <f>(C29*C$28+D29*D$28+E29*E$28)*F$28</f>
        <v>0</v>
      </c>
      <c r="H29" s="14">
        <f>C29+D29+E29</f>
        <v>0</v>
      </c>
      <c r="I29" s="9">
        <f>I25-H29</f>
        <v>100</v>
      </c>
      <c r="J29" s="122">
        <f>'[1]Area 4'!$D$49</f>
        <v>0</v>
      </c>
      <c r="K29" s="10">
        <f t="shared" ref="K29:K41" si="7">J29-A29</f>
        <v>0</v>
      </c>
    </row>
    <row r="30" spans="1:12" x14ac:dyDescent="0.2">
      <c r="A30" s="431"/>
      <c r="B30" s="112"/>
      <c r="C30" s="6"/>
      <c r="D30" s="283"/>
      <c r="E30" s="6"/>
      <c r="F30" s="8">
        <f t="shared" si="6"/>
        <v>0</v>
      </c>
      <c r="G30" s="8">
        <f t="shared" ref="G30:G41" si="8">(C30*C$28+D30*D$28+E30*E$28)*F$28</f>
        <v>0</v>
      </c>
      <c r="H30" s="14">
        <f t="shared" ref="H30:H41" si="9">C30+D30+E30</f>
        <v>0</v>
      </c>
      <c r="I30" s="9">
        <f t="shared" ref="I30:I41" si="10">I29-H30</f>
        <v>100</v>
      </c>
      <c r="J30" s="122"/>
      <c r="K30" s="10">
        <f t="shared" si="7"/>
        <v>0</v>
      </c>
    </row>
    <row r="31" spans="1:12" x14ac:dyDescent="0.2">
      <c r="A31" s="431"/>
      <c r="B31" s="112"/>
      <c r="C31" s="6"/>
      <c r="D31" s="283"/>
      <c r="E31" s="6"/>
      <c r="F31" s="8">
        <f t="shared" si="6"/>
        <v>0</v>
      </c>
      <c r="G31" s="8">
        <f t="shared" si="8"/>
        <v>0</v>
      </c>
      <c r="H31" s="14">
        <f t="shared" si="9"/>
        <v>0</v>
      </c>
      <c r="I31" s="9">
        <f t="shared" si="10"/>
        <v>100</v>
      </c>
      <c r="J31" s="122"/>
      <c r="K31" s="15">
        <f t="shared" si="7"/>
        <v>0</v>
      </c>
    </row>
    <row r="32" spans="1:12" x14ac:dyDescent="0.2">
      <c r="A32" s="431"/>
      <c r="B32" s="472"/>
      <c r="C32" s="283"/>
      <c r="D32" s="283"/>
      <c r="E32" s="283"/>
      <c r="F32" s="284">
        <f t="shared" si="6"/>
        <v>0</v>
      </c>
      <c r="G32" s="8">
        <f t="shared" si="8"/>
        <v>0</v>
      </c>
      <c r="H32" s="528">
        <f t="shared" si="9"/>
        <v>0</v>
      </c>
      <c r="I32" s="349">
        <f t="shared" si="10"/>
        <v>100</v>
      </c>
      <c r="J32" s="258"/>
      <c r="K32" s="486">
        <f t="shared" si="7"/>
        <v>0</v>
      </c>
    </row>
    <row r="33" spans="1:14" x14ac:dyDescent="0.2">
      <c r="A33" s="431"/>
      <c r="B33" s="112"/>
      <c r="C33" s="6"/>
      <c r="D33" s="283"/>
      <c r="E33" s="6"/>
      <c r="F33" s="8">
        <f t="shared" si="6"/>
        <v>0</v>
      </c>
      <c r="G33" s="8">
        <f t="shared" si="8"/>
        <v>0</v>
      </c>
      <c r="H33" s="14">
        <f t="shared" si="9"/>
        <v>0</v>
      </c>
      <c r="I33" s="9">
        <f t="shared" si="10"/>
        <v>100</v>
      </c>
      <c r="J33" s="122"/>
      <c r="K33" s="10">
        <f t="shared" si="7"/>
        <v>0</v>
      </c>
    </row>
    <row r="34" spans="1:14" x14ac:dyDescent="0.2">
      <c r="A34" s="431"/>
      <c r="B34" s="112"/>
      <c r="C34" s="6"/>
      <c r="D34" s="283"/>
      <c r="E34" s="6"/>
      <c r="F34" s="8">
        <f t="shared" si="6"/>
        <v>0</v>
      </c>
      <c r="G34" s="8">
        <f t="shared" si="8"/>
        <v>0</v>
      </c>
      <c r="H34" s="14">
        <f t="shared" si="9"/>
        <v>0</v>
      </c>
      <c r="I34" s="9">
        <f t="shared" si="10"/>
        <v>100</v>
      </c>
      <c r="J34" s="122"/>
      <c r="K34" s="10">
        <f t="shared" si="7"/>
        <v>0</v>
      </c>
    </row>
    <row r="35" spans="1:14" x14ac:dyDescent="0.2">
      <c r="A35" s="431"/>
      <c r="B35" s="112"/>
      <c r="C35" s="6"/>
      <c r="D35" s="283"/>
      <c r="E35" s="6"/>
      <c r="F35" s="8">
        <f t="shared" si="6"/>
        <v>0</v>
      </c>
      <c r="G35" s="8">
        <f t="shared" si="8"/>
        <v>0</v>
      </c>
      <c r="H35" s="14">
        <f t="shared" si="9"/>
        <v>0</v>
      </c>
      <c r="I35" s="9">
        <f t="shared" si="10"/>
        <v>100</v>
      </c>
      <c r="J35" s="122"/>
      <c r="K35" s="10">
        <f t="shared" si="7"/>
        <v>0</v>
      </c>
    </row>
    <row r="36" spans="1:14" x14ac:dyDescent="0.2">
      <c r="A36" s="431"/>
      <c r="B36" s="112"/>
      <c r="C36" s="6"/>
      <c r="D36" s="283"/>
      <c r="E36" s="6"/>
      <c r="F36" s="8">
        <f t="shared" si="6"/>
        <v>0</v>
      </c>
      <c r="G36" s="8">
        <f t="shared" si="8"/>
        <v>0</v>
      </c>
      <c r="H36" s="14">
        <f t="shared" si="9"/>
        <v>0</v>
      </c>
      <c r="I36" s="9">
        <f t="shared" si="10"/>
        <v>100</v>
      </c>
      <c r="J36" s="122"/>
      <c r="K36" s="10">
        <f t="shared" si="7"/>
        <v>0</v>
      </c>
    </row>
    <row r="37" spans="1:14" x14ac:dyDescent="0.2">
      <c r="A37" s="431"/>
      <c r="B37" s="112"/>
      <c r="C37" s="6"/>
      <c r="D37" s="283"/>
      <c r="E37" s="6"/>
      <c r="F37" s="8">
        <f t="shared" si="6"/>
        <v>0</v>
      </c>
      <c r="G37" s="8">
        <f t="shared" si="8"/>
        <v>0</v>
      </c>
      <c r="H37" s="14">
        <f t="shared" si="9"/>
        <v>0</v>
      </c>
      <c r="I37" s="9">
        <f t="shared" si="10"/>
        <v>100</v>
      </c>
      <c r="J37" s="122"/>
      <c r="K37" s="10">
        <f t="shared" si="7"/>
        <v>0</v>
      </c>
    </row>
    <row r="38" spans="1:14" x14ac:dyDescent="0.2">
      <c r="A38" s="431"/>
      <c r="B38" s="112"/>
      <c r="C38" s="6"/>
      <c r="D38" s="283"/>
      <c r="E38" s="6"/>
      <c r="F38" s="8">
        <f t="shared" si="6"/>
        <v>0</v>
      </c>
      <c r="G38" s="8">
        <f t="shared" si="8"/>
        <v>0</v>
      </c>
      <c r="H38" s="14">
        <f t="shared" si="9"/>
        <v>0</v>
      </c>
      <c r="I38" s="9">
        <f t="shared" si="10"/>
        <v>100</v>
      </c>
      <c r="J38" s="122"/>
      <c r="K38" s="10">
        <f t="shared" si="7"/>
        <v>0</v>
      </c>
    </row>
    <row r="39" spans="1:14" x14ac:dyDescent="0.2">
      <c r="A39" s="431"/>
      <c r="B39" s="112"/>
      <c r="C39" s="6"/>
      <c r="D39" s="283"/>
      <c r="E39" s="6"/>
      <c r="F39" s="8">
        <f t="shared" si="6"/>
        <v>0</v>
      </c>
      <c r="G39" s="8">
        <f t="shared" si="8"/>
        <v>0</v>
      </c>
      <c r="H39" s="14">
        <f t="shared" si="9"/>
        <v>0</v>
      </c>
      <c r="I39" s="9">
        <f t="shared" si="10"/>
        <v>100</v>
      </c>
      <c r="J39" s="122"/>
      <c r="K39" s="10">
        <f t="shared" si="7"/>
        <v>0</v>
      </c>
    </row>
    <row r="40" spans="1:14" x14ac:dyDescent="0.2">
      <c r="A40" s="431"/>
      <c r="B40" s="112"/>
      <c r="C40" s="6"/>
      <c r="D40" s="283"/>
      <c r="E40" s="6"/>
      <c r="F40" s="8">
        <f t="shared" si="6"/>
        <v>0</v>
      </c>
      <c r="G40" s="8">
        <f t="shared" si="8"/>
        <v>0</v>
      </c>
      <c r="H40" s="14">
        <f t="shared" si="9"/>
        <v>0</v>
      </c>
      <c r="I40" s="9">
        <f t="shared" si="10"/>
        <v>100</v>
      </c>
      <c r="J40" s="122"/>
      <c r="K40" s="10">
        <f t="shared" si="7"/>
        <v>0</v>
      </c>
    </row>
    <row r="41" spans="1:14" x14ac:dyDescent="0.2">
      <c r="A41" s="431"/>
      <c r="B41" s="112"/>
      <c r="C41" s="6"/>
      <c r="D41" s="283"/>
      <c r="E41" s="6"/>
      <c r="F41" s="8">
        <f>C41*2.5+D41*4+E41*6</f>
        <v>0</v>
      </c>
      <c r="G41" s="8">
        <f t="shared" si="8"/>
        <v>0</v>
      </c>
      <c r="H41" s="14">
        <f t="shared" si="9"/>
        <v>0</v>
      </c>
      <c r="I41" s="9">
        <f t="shared" si="10"/>
        <v>100</v>
      </c>
      <c r="J41" s="122"/>
      <c r="K41" s="10">
        <f t="shared" si="7"/>
        <v>0</v>
      </c>
    </row>
    <row r="42" spans="1:14" x14ac:dyDescent="0.2">
      <c r="A42" s="731" t="s">
        <v>18</v>
      </c>
      <c r="B42" s="732"/>
      <c r="C42" s="272">
        <f t="shared" ref="C42:H42" si="11">SUM(C29:C41)</f>
        <v>0</v>
      </c>
      <c r="D42" s="272">
        <f t="shared" si="11"/>
        <v>0</v>
      </c>
      <c r="E42" s="273">
        <f t="shared" si="11"/>
        <v>0</v>
      </c>
      <c r="F42" s="215">
        <f t="shared" si="11"/>
        <v>0</v>
      </c>
      <c r="G42" s="79">
        <f t="shared" si="11"/>
        <v>0</v>
      </c>
      <c r="H42" s="564">
        <f t="shared" si="11"/>
        <v>0</v>
      </c>
      <c r="I42" s="9">
        <f>I25-H42</f>
        <v>100</v>
      </c>
      <c r="J42" s="121"/>
      <c r="K42" s="4"/>
    </row>
    <row r="43" spans="1:14" s="71" customFormat="1" x14ac:dyDescent="0.2">
      <c r="A43" s="4"/>
      <c r="B43" s="121"/>
      <c r="C43" s="7"/>
      <c r="D43" s="7"/>
      <c r="E43" s="284"/>
      <c r="F43" s="14"/>
      <c r="G43" s="57" t="s">
        <v>46</v>
      </c>
      <c r="H43" s="64">
        <f>H42/I25%</f>
        <v>0</v>
      </c>
      <c r="I43" s="568">
        <f>I42/I25%</f>
        <v>100</v>
      </c>
      <c r="J43" s="121"/>
      <c r="K43" s="4"/>
    </row>
    <row r="45" spans="1:14" x14ac:dyDescent="0.2">
      <c r="A45" s="863" t="s">
        <v>277</v>
      </c>
      <c r="B45" s="863"/>
      <c r="C45" s="863"/>
      <c r="D45" s="863"/>
      <c r="E45" s="863"/>
      <c r="F45" s="623"/>
      <c r="G45" s="624">
        <f>I25+I4</f>
        <v>150</v>
      </c>
      <c r="J45"/>
      <c r="L45" s="351"/>
      <c r="M45" s="335"/>
      <c r="N45" s="71"/>
    </row>
    <row r="46" spans="1:14" x14ac:dyDescent="0.2">
      <c r="F46" s="32"/>
      <c r="G46" s="282"/>
      <c r="J46"/>
      <c r="L46" s="351"/>
      <c r="M46" s="335"/>
      <c r="N46" s="71"/>
    </row>
    <row r="47" spans="1:14" ht="14.25" x14ac:dyDescent="0.2">
      <c r="A47" s="867" t="s">
        <v>52</v>
      </c>
      <c r="B47" s="867"/>
      <c r="C47" s="867"/>
      <c r="D47" s="867"/>
      <c r="E47" s="867"/>
      <c r="F47" s="867"/>
      <c r="G47" s="616">
        <f>H42+H21</f>
        <v>0</v>
      </c>
      <c r="H47" s="123"/>
      <c r="J47" s="398"/>
      <c r="K47" s="71"/>
    </row>
    <row r="48" spans="1:14" ht="14.25" x14ac:dyDescent="0.2">
      <c r="F48" s="32"/>
      <c r="H48" s="123"/>
      <c r="J48" s="398"/>
      <c r="K48" s="71"/>
    </row>
    <row r="49" spans="1:14" ht="14.25" x14ac:dyDescent="0.2">
      <c r="A49" s="830" t="s">
        <v>113</v>
      </c>
      <c r="B49" s="830"/>
      <c r="C49" s="830"/>
      <c r="D49" s="830"/>
      <c r="E49" s="830"/>
      <c r="F49" s="60"/>
      <c r="G49" s="617">
        <f>G45-G47</f>
        <v>150</v>
      </c>
      <c r="H49" s="123"/>
      <c r="J49" s="398"/>
      <c r="K49" s="71"/>
    </row>
    <row r="50" spans="1:14" x14ac:dyDescent="0.2">
      <c r="F50" s="32"/>
      <c r="G50" s="282"/>
      <c r="J50"/>
      <c r="L50" s="351"/>
      <c r="M50" s="335"/>
      <c r="N50" s="71"/>
    </row>
    <row r="51" spans="1:14" x14ac:dyDescent="0.2">
      <c r="A51" s="865" t="s">
        <v>50</v>
      </c>
      <c r="B51" s="865"/>
      <c r="C51" s="865"/>
      <c r="D51" s="865"/>
      <c r="E51" s="865"/>
      <c r="F51" s="625"/>
      <c r="G51" s="626">
        <f>G47/G45%</f>
        <v>0</v>
      </c>
      <c r="J51"/>
      <c r="L51" s="351"/>
      <c r="M51" s="335"/>
      <c r="N51" s="71"/>
    </row>
    <row r="52" spans="1:14" x14ac:dyDescent="0.2">
      <c r="A52" s="73"/>
      <c r="B52" s="127"/>
      <c r="C52" s="73"/>
      <c r="D52" s="73"/>
      <c r="E52" s="73"/>
      <c r="F52" s="66"/>
      <c r="G52" s="74"/>
      <c r="J52"/>
      <c r="L52" s="351"/>
      <c r="M52" s="335"/>
      <c r="N52" s="71"/>
    </row>
    <row r="53" spans="1:14" x14ac:dyDescent="0.2">
      <c r="A53" s="866" t="s">
        <v>123</v>
      </c>
      <c r="B53" s="866"/>
      <c r="C53" s="866"/>
      <c r="D53" s="866"/>
      <c r="E53" s="866"/>
      <c r="F53" s="627"/>
      <c r="G53" s="628">
        <f>G49/G45%</f>
        <v>100</v>
      </c>
      <c r="J53"/>
      <c r="L53" s="351"/>
      <c r="M53" s="335"/>
      <c r="N53" s="71"/>
    </row>
    <row r="54" spans="1:14" x14ac:dyDescent="0.2">
      <c r="F54" s="32"/>
      <c r="G54" s="32"/>
      <c r="J54"/>
      <c r="L54" s="351"/>
      <c r="M54" s="335"/>
      <c r="N54" s="71"/>
    </row>
    <row r="55" spans="1:14" x14ac:dyDescent="0.2">
      <c r="A55" s="831" t="s">
        <v>55</v>
      </c>
      <c r="B55" s="831"/>
      <c r="C55" s="831"/>
      <c r="D55" s="831"/>
      <c r="E55" s="831"/>
      <c r="F55" s="831"/>
      <c r="G55" s="629">
        <f>F42+F21</f>
        <v>0</v>
      </c>
      <c r="H55" s="357"/>
      <c r="J55"/>
      <c r="L55" s="351"/>
      <c r="M55" s="335"/>
      <c r="N55" s="71"/>
    </row>
    <row r="56" spans="1:14" x14ac:dyDescent="0.2">
      <c r="F56" s="34"/>
      <c r="G56" s="34"/>
      <c r="J56"/>
      <c r="L56" s="351"/>
      <c r="M56" s="335"/>
      <c r="N56" s="71"/>
    </row>
    <row r="57" spans="1:14" x14ac:dyDescent="0.2">
      <c r="A57" s="791" t="s">
        <v>122</v>
      </c>
      <c r="B57" s="791"/>
      <c r="C57" s="791"/>
      <c r="D57" s="791"/>
      <c r="E57" s="791"/>
      <c r="F57" s="630"/>
      <c r="G57" s="630">
        <f>G42+G21</f>
        <v>0</v>
      </c>
      <c r="H57" s="631"/>
      <c r="I57" s="237"/>
      <c r="J57"/>
      <c r="L57" s="351"/>
      <c r="M57" s="335"/>
      <c r="N57" s="71"/>
    </row>
    <row r="58" spans="1:14" x14ac:dyDescent="0.2">
      <c r="J58"/>
      <c r="L58" s="351"/>
      <c r="M58" s="335"/>
      <c r="N58" s="71"/>
    </row>
    <row r="59" spans="1:14" x14ac:dyDescent="0.2">
      <c r="J59"/>
      <c r="L59" s="351"/>
      <c r="M59" s="335"/>
      <c r="N59" s="71"/>
    </row>
  </sheetData>
  <mergeCells count="27">
    <mergeCell ref="J24:K25"/>
    <mergeCell ref="A47:F47"/>
    <mergeCell ref="B24:H24"/>
    <mergeCell ref="A42:B42"/>
    <mergeCell ref="A1:K1"/>
    <mergeCell ref="A2:K2"/>
    <mergeCell ref="B3:H3"/>
    <mergeCell ref="J3:K4"/>
    <mergeCell ref="B4:H4"/>
    <mergeCell ref="A5:A6"/>
    <mergeCell ref="B5:B6"/>
    <mergeCell ref="J26:J27"/>
    <mergeCell ref="A57:E57"/>
    <mergeCell ref="C5:E5"/>
    <mergeCell ref="F5:H5"/>
    <mergeCell ref="J5:J6"/>
    <mergeCell ref="A51:E51"/>
    <mergeCell ref="A53:E53"/>
    <mergeCell ref="A55:F55"/>
    <mergeCell ref="A21:B21"/>
    <mergeCell ref="A49:E49"/>
    <mergeCell ref="A45:E45"/>
    <mergeCell ref="B25:H25"/>
    <mergeCell ref="A26:A27"/>
    <mergeCell ref="B26:B27"/>
    <mergeCell ref="C26:E26"/>
    <mergeCell ref="F26:H26"/>
  </mergeCell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30433-73D1-4B96-B340-1BAAD0E05A41}">
  <dimension ref="A1:O54"/>
  <sheetViews>
    <sheetView workbookViewId="0">
      <selection activeCell="L25" sqref="L25"/>
    </sheetView>
  </sheetViews>
  <sheetFormatPr defaultRowHeight="12.75" x14ac:dyDescent="0.2"/>
  <cols>
    <col min="1" max="1" width="8.85546875" customWidth="1"/>
    <col min="2" max="2" width="8" style="123" customWidth="1"/>
    <col min="3" max="3" width="8" customWidth="1"/>
    <col min="4" max="4" width="8.140625" customWidth="1"/>
    <col min="5" max="5" width="8" customWidth="1"/>
    <col min="6" max="7" width="7.7109375" customWidth="1"/>
    <col min="8" max="8" width="8.42578125" customWidth="1"/>
    <col min="9" max="9" width="12.42578125" customWidth="1"/>
    <col min="10" max="10" width="6.7109375" customWidth="1"/>
    <col min="11" max="11" width="7.85546875" customWidth="1"/>
    <col min="12" max="12" width="9.42578125" style="123" customWidth="1"/>
    <col min="13" max="13" width="6.85546875" customWidth="1"/>
    <col min="14" max="14" width="14.5703125" style="335" customWidth="1"/>
    <col min="15" max="15" width="9.140625" style="71"/>
  </cols>
  <sheetData>
    <row r="1" spans="1:15" ht="18" x14ac:dyDescent="0.25">
      <c r="A1" s="835" t="s">
        <v>232</v>
      </c>
      <c r="B1" s="835"/>
      <c r="C1" s="835"/>
      <c r="D1" s="835"/>
      <c r="E1" s="835"/>
      <c r="F1" s="835"/>
      <c r="G1" s="835"/>
      <c r="H1" s="835"/>
      <c r="I1" s="835"/>
      <c r="J1" s="835"/>
      <c r="K1" s="835"/>
      <c r="L1" s="835"/>
      <c r="M1" s="835"/>
      <c r="N1"/>
      <c r="O1"/>
    </row>
    <row r="2" spans="1:15" ht="26.25" x14ac:dyDescent="0.2">
      <c r="A2" s="794" t="str">
        <f>GDSL!A2</f>
        <v>TAHUN 2026</v>
      </c>
      <c r="B2" s="794"/>
      <c r="C2" s="794"/>
      <c r="D2" s="794"/>
      <c r="E2" s="794"/>
      <c r="F2" s="794"/>
      <c r="G2" s="794"/>
      <c r="H2" s="794"/>
      <c r="I2" s="794"/>
      <c r="J2" s="794"/>
      <c r="K2" s="794"/>
      <c r="L2" s="71"/>
      <c r="M2" s="71"/>
      <c r="N2"/>
      <c r="O2"/>
    </row>
    <row r="3" spans="1:15" ht="15" x14ac:dyDescent="0.25">
      <c r="A3" s="117" t="s">
        <v>0</v>
      </c>
      <c r="B3" s="832" t="s">
        <v>37</v>
      </c>
      <c r="C3" s="832"/>
      <c r="D3" s="832"/>
      <c r="E3" s="832"/>
      <c r="F3" s="832"/>
      <c r="G3" s="832"/>
      <c r="H3" s="832"/>
      <c r="I3" s="832"/>
      <c r="J3" s="832"/>
      <c r="K3" s="120" t="s">
        <v>11</v>
      </c>
      <c r="L3" s="739" t="s">
        <v>15</v>
      </c>
      <c r="M3" s="739"/>
      <c r="N3" s="707">
        <v>46077</v>
      </c>
    </row>
    <row r="4" spans="1:15" ht="15" x14ac:dyDescent="0.25">
      <c r="A4" s="117" t="s">
        <v>1</v>
      </c>
      <c r="B4" s="849" t="s">
        <v>201</v>
      </c>
      <c r="C4" s="849"/>
      <c r="D4" s="849"/>
      <c r="E4" s="849"/>
      <c r="F4" s="849"/>
      <c r="G4" s="849"/>
      <c r="H4" s="849"/>
      <c r="I4" s="849"/>
      <c r="J4" s="849"/>
      <c r="K4" s="148">
        <v>50</v>
      </c>
      <c r="L4" s="739"/>
      <c r="M4" s="739"/>
    </row>
    <row r="5" spans="1:15" x14ac:dyDescent="0.2">
      <c r="A5" s="726" t="s">
        <v>3</v>
      </c>
      <c r="B5" s="871" t="s">
        <v>126</v>
      </c>
      <c r="C5" s="763" t="s">
        <v>19</v>
      </c>
      <c r="D5" s="764"/>
      <c r="E5" s="764"/>
      <c r="F5" s="764"/>
      <c r="G5" s="765"/>
      <c r="H5" s="807" t="s">
        <v>24</v>
      </c>
      <c r="I5" s="846"/>
      <c r="J5" s="847"/>
      <c r="K5" s="118" t="s">
        <v>12</v>
      </c>
      <c r="L5" s="726" t="s">
        <v>3</v>
      </c>
      <c r="M5" s="117" t="s">
        <v>13</v>
      </c>
    </row>
    <row r="6" spans="1:15" x14ac:dyDescent="0.2">
      <c r="A6" s="726"/>
      <c r="B6" s="726"/>
      <c r="C6" s="5" t="s">
        <v>43</v>
      </c>
      <c r="D6" s="5" t="s">
        <v>44</v>
      </c>
      <c r="E6" s="5" t="s">
        <v>45</v>
      </c>
      <c r="F6" s="5" t="s">
        <v>42</v>
      </c>
      <c r="G6" s="601" t="s">
        <v>141</v>
      </c>
      <c r="H6" s="216" t="s">
        <v>9</v>
      </c>
      <c r="I6" s="80" t="s">
        <v>8</v>
      </c>
      <c r="J6" s="67" t="s">
        <v>23</v>
      </c>
      <c r="K6" s="119" t="s">
        <v>33</v>
      </c>
      <c r="L6" s="726"/>
      <c r="M6" s="117" t="s">
        <v>14</v>
      </c>
    </row>
    <row r="7" spans="1:15" x14ac:dyDescent="0.2">
      <c r="A7" s="676" t="s">
        <v>182</v>
      </c>
      <c r="B7" s="677">
        <v>45931</v>
      </c>
      <c r="C7" s="671"/>
      <c r="D7" s="671">
        <v>1145520</v>
      </c>
      <c r="E7" s="671">
        <v>2264400</v>
      </c>
      <c r="F7" s="688">
        <v>2384280</v>
      </c>
      <c r="G7" s="609"/>
      <c r="H7" s="603">
        <v>0.98</v>
      </c>
      <c r="I7" s="4"/>
      <c r="J7" s="4"/>
      <c r="K7" s="12"/>
      <c r="L7" s="122"/>
      <c r="M7" s="4"/>
    </row>
    <row r="8" spans="1:15" x14ac:dyDescent="0.2">
      <c r="A8" s="431"/>
      <c r="B8" s="433"/>
      <c r="C8" s="6"/>
      <c r="D8" s="6"/>
      <c r="E8" s="6"/>
      <c r="F8" s="6"/>
      <c r="G8" s="464">
        <v>0</v>
      </c>
      <c r="H8" s="14">
        <f>(C8*2.4+D8*2.4+E8*2.4+F8*6+G8*25)</f>
        <v>0</v>
      </c>
      <c r="I8" s="8">
        <f>(C8*C$7+D8*D$7+E8*E$7+F8*F$7)*H$7</f>
        <v>0</v>
      </c>
      <c r="J8" s="8">
        <f>(C8+D8+E8+F8+G8)</f>
        <v>0</v>
      </c>
      <c r="K8" s="9">
        <f>K4-J8</f>
        <v>50</v>
      </c>
      <c r="L8" s="122"/>
      <c r="M8" s="15">
        <f>L8-A8</f>
        <v>0</v>
      </c>
    </row>
    <row r="9" spans="1:15" x14ac:dyDescent="0.2">
      <c r="A9" s="431"/>
      <c r="B9" s="433"/>
      <c r="C9" s="6"/>
      <c r="D9" s="6"/>
      <c r="E9" s="6"/>
      <c r="F9" s="6"/>
      <c r="G9" s="464">
        <v>0</v>
      </c>
      <c r="H9" s="14">
        <f t="shared" ref="H9:H14" si="0">(C9*2.4+D9*2.4+E9*2.4+F9*6+G9*25)</f>
        <v>0</v>
      </c>
      <c r="I9" s="8">
        <f t="shared" ref="I9:I14" si="1">(C9*C$7+D9*D$7+E9*E$7+F9*F$7)*H$7</f>
        <v>0</v>
      </c>
      <c r="J9" s="8">
        <f t="shared" ref="J9:J15" si="2">(C9+D9+E9+F9+G9)</f>
        <v>0</v>
      </c>
      <c r="K9" s="9">
        <f t="shared" ref="K9:K14" si="3">K8-J9</f>
        <v>50</v>
      </c>
      <c r="L9" s="122"/>
      <c r="M9" s="15">
        <f t="shared" ref="M9:M14" si="4">L9-A9</f>
        <v>0</v>
      </c>
    </row>
    <row r="10" spans="1:15" x14ac:dyDescent="0.2">
      <c r="A10" s="431"/>
      <c r="B10" s="438"/>
      <c r="C10" s="6"/>
      <c r="D10" s="6"/>
      <c r="E10" s="6"/>
      <c r="F10" s="6"/>
      <c r="G10" s="464">
        <v>0</v>
      </c>
      <c r="H10" s="14">
        <f t="shared" si="0"/>
        <v>0</v>
      </c>
      <c r="I10" s="8">
        <f t="shared" si="1"/>
        <v>0</v>
      </c>
      <c r="J10" s="8">
        <f t="shared" si="2"/>
        <v>0</v>
      </c>
      <c r="K10" s="9">
        <f t="shared" si="3"/>
        <v>50</v>
      </c>
      <c r="L10" s="122"/>
      <c r="M10" s="15">
        <f t="shared" si="4"/>
        <v>0</v>
      </c>
    </row>
    <row r="11" spans="1:15" x14ac:dyDescent="0.2">
      <c r="A11" s="431"/>
      <c r="B11" s="112"/>
      <c r="C11" s="6"/>
      <c r="D11" s="6"/>
      <c r="E11" s="6"/>
      <c r="F11" s="6"/>
      <c r="G11" s="464"/>
      <c r="H11" s="14">
        <f t="shared" si="0"/>
        <v>0</v>
      </c>
      <c r="I11" s="8">
        <f t="shared" si="1"/>
        <v>0</v>
      </c>
      <c r="J11" s="8">
        <f t="shared" si="2"/>
        <v>0</v>
      </c>
      <c r="K11" s="9">
        <f t="shared" si="3"/>
        <v>50</v>
      </c>
      <c r="L11" s="122"/>
      <c r="M11" s="15">
        <f t="shared" si="4"/>
        <v>0</v>
      </c>
    </row>
    <row r="12" spans="1:15" x14ac:dyDescent="0.2">
      <c r="A12" s="431"/>
      <c r="B12" s="438"/>
      <c r="C12" s="6"/>
      <c r="D12" s="6"/>
      <c r="E12" s="6"/>
      <c r="F12" s="6"/>
      <c r="G12" s="464"/>
      <c r="H12" s="14">
        <f t="shared" si="0"/>
        <v>0</v>
      </c>
      <c r="I12" s="8">
        <f t="shared" si="1"/>
        <v>0</v>
      </c>
      <c r="J12" s="8">
        <f t="shared" si="2"/>
        <v>0</v>
      </c>
      <c r="K12" s="9">
        <f t="shared" si="3"/>
        <v>50</v>
      </c>
      <c r="L12" s="122"/>
      <c r="M12" s="15">
        <f t="shared" si="4"/>
        <v>0</v>
      </c>
    </row>
    <row r="13" spans="1:15" x14ac:dyDescent="0.2">
      <c r="A13" s="431"/>
      <c r="B13" s="438"/>
      <c r="C13" s="6"/>
      <c r="D13" s="6"/>
      <c r="E13" s="6"/>
      <c r="F13" s="6"/>
      <c r="G13" s="464"/>
      <c r="H13" s="14">
        <f t="shared" si="0"/>
        <v>0</v>
      </c>
      <c r="I13" s="8">
        <f t="shared" si="1"/>
        <v>0</v>
      </c>
      <c r="J13" s="8">
        <f t="shared" si="2"/>
        <v>0</v>
      </c>
      <c r="K13" s="9">
        <f t="shared" si="3"/>
        <v>50</v>
      </c>
      <c r="L13" s="122"/>
      <c r="M13" s="15">
        <f t="shared" si="4"/>
        <v>0</v>
      </c>
    </row>
    <row r="14" spans="1:15" x14ac:dyDescent="0.2">
      <c r="A14" s="431"/>
      <c r="B14" s="438"/>
      <c r="C14" s="6"/>
      <c r="D14" s="6"/>
      <c r="E14" s="6"/>
      <c r="F14" s="6"/>
      <c r="G14" s="464"/>
      <c r="H14" s="14">
        <f t="shared" si="0"/>
        <v>0</v>
      </c>
      <c r="I14" s="8">
        <f t="shared" si="1"/>
        <v>0</v>
      </c>
      <c r="J14" s="8">
        <f t="shared" si="2"/>
        <v>0</v>
      </c>
      <c r="K14" s="9">
        <f t="shared" si="3"/>
        <v>50</v>
      </c>
      <c r="L14" s="122"/>
      <c r="M14" s="15">
        <f t="shared" si="4"/>
        <v>0</v>
      </c>
    </row>
    <row r="15" spans="1:15" x14ac:dyDescent="0.2">
      <c r="A15" s="731" t="s">
        <v>18</v>
      </c>
      <c r="B15" s="732"/>
      <c r="C15" s="272">
        <f t="shared" ref="C15:I15" si="5">SUM(C8:C14)</f>
        <v>0</v>
      </c>
      <c r="D15" s="272">
        <f t="shared" si="5"/>
        <v>0</v>
      </c>
      <c r="E15" s="273">
        <f t="shared" si="5"/>
        <v>0</v>
      </c>
      <c r="F15" s="273">
        <f t="shared" si="5"/>
        <v>0</v>
      </c>
      <c r="G15" s="273">
        <f t="shared" si="5"/>
        <v>0</v>
      </c>
      <c r="H15" s="218">
        <f t="shared" si="5"/>
        <v>0</v>
      </c>
      <c r="I15" s="79">
        <f t="shared" si="5"/>
        <v>0</v>
      </c>
      <c r="J15" s="250">
        <f t="shared" si="2"/>
        <v>0</v>
      </c>
      <c r="K15" s="361">
        <f>K4-J15</f>
        <v>50</v>
      </c>
      <c r="L15" s="121"/>
      <c r="M15" s="4"/>
    </row>
    <row r="16" spans="1:15" x14ac:dyDescent="0.2">
      <c r="A16" s="4"/>
      <c r="B16" s="121"/>
      <c r="C16" s="7"/>
      <c r="D16" s="7"/>
      <c r="E16" s="8"/>
      <c r="F16" s="8"/>
      <c r="G16" s="8"/>
      <c r="H16" s="14"/>
      <c r="I16" s="57" t="s">
        <v>46</v>
      </c>
      <c r="J16" s="64">
        <f>J15/K4%</f>
        <v>0</v>
      </c>
      <c r="K16" s="53">
        <f>K15/K4%</f>
        <v>100</v>
      </c>
      <c r="L16" s="121"/>
      <c r="M16" s="4"/>
    </row>
    <row r="17" spans="1:14" x14ac:dyDescent="0.2">
      <c r="A17" s="16"/>
      <c r="B17" s="125"/>
      <c r="C17" s="17"/>
      <c r="D17" s="17"/>
      <c r="E17" s="18"/>
      <c r="F17" s="18"/>
      <c r="G17" s="18"/>
      <c r="H17" s="23"/>
      <c r="I17" s="100"/>
      <c r="J17" s="101"/>
      <c r="K17" s="109"/>
      <c r="L17" s="125"/>
      <c r="M17" s="16"/>
    </row>
    <row r="19" spans="1:14" ht="15" x14ac:dyDescent="0.25">
      <c r="A19" s="117" t="s">
        <v>0</v>
      </c>
      <c r="B19" s="832" t="s">
        <v>37</v>
      </c>
      <c r="C19" s="832"/>
      <c r="D19" s="832"/>
      <c r="E19" s="832"/>
      <c r="F19" s="832"/>
      <c r="G19" s="832"/>
      <c r="H19" s="832"/>
      <c r="I19" s="832"/>
      <c r="J19" s="832"/>
      <c r="K19" s="120" t="s">
        <v>11</v>
      </c>
      <c r="L19" s="739" t="s">
        <v>15</v>
      </c>
      <c r="M19" s="739"/>
      <c r="N19" s="705">
        <v>46062</v>
      </c>
    </row>
    <row r="20" spans="1:14" ht="15" x14ac:dyDescent="0.25">
      <c r="A20" s="117" t="s">
        <v>1</v>
      </c>
      <c r="B20" s="849" t="s">
        <v>189</v>
      </c>
      <c r="C20" s="849"/>
      <c r="D20" s="849"/>
      <c r="E20" s="849"/>
      <c r="F20" s="849"/>
      <c r="G20" s="849"/>
      <c r="H20" s="849"/>
      <c r="I20" s="849"/>
      <c r="J20" s="849"/>
      <c r="K20" s="148">
        <v>700</v>
      </c>
      <c r="L20" s="739"/>
      <c r="M20" s="739"/>
    </row>
    <row r="21" spans="1:14" x14ac:dyDescent="0.2">
      <c r="A21" s="726" t="s">
        <v>3</v>
      </c>
      <c r="B21" s="871" t="s">
        <v>126</v>
      </c>
      <c r="C21" s="763" t="s">
        <v>19</v>
      </c>
      <c r="D21" s="764"/>
      <c r="E21" s="764"/>
      <c r="F21" s="764"/>
      <c r="G21" s="765"/>
      <c r="H21" s="807" t="s">
        <v>24</v>
      </c>
      <c r="I21" s="846"/>
      <c r="J21" s="847"/>
      <c r="K21" s="118" t="s">
        <v>12</v>
      </c>
      <c r="L21" s="726" t="s">
        <v>3</v>
      </c>
      <c r="M21" s="117" t="s">
        <v>13</v>
      </c>
    </row>
    <row r="22" spans="1:14" x14ac:dyDescent="0.2">
      <c r="A22" s="726"/>
      <c r="B22" s="726"/>
      <c r="C22" s="601" t="s">
        <v>43</v>
      </c>
      <c r="D22" s="601" t="s">
        <v>44</v>
      </c>
      <c r="E22" s="475" t="s">
        <v>45</v>
      </c>
      <c r="F22" s="475" t="s">
        <v>42</v>
      </c>
      <c r="G22" s="600" t="s">
        <v>141</v>
      </c>
      <c r="H22" s="216" t="s">
        <v>9</v>
      </c>
      <c r="I22" s="80" t="s">
        <v>8</v>
      </c>
      <c r="J22" s="67" t="s">
        <v>23</v>
      </c>
      <c r="K22" s="119" t="s">
        <v>33</v>
      </c>
      <c r="L22" s="726"/>
      <c r="M22" s="117" t="s">
        <v>14</v>
      </c>
    </row>
    <row r="23" spans="1:14" x14ac:dyDescent="0.2">
      <c r="A23" s="676" t="s">
        <v>182</v>
      </c>
      <c r="B23" s="677">
        <v>45931</v>
      </c>
      <c r="C23" s="602">
        <v>0</v>
      </c>
      <c r="D23" s="602">
        <v>1110000</v>
      </c>
      <c r="E23" s="671">
        <v>2264400</v>
      </c>
      <c r="F23" s="688">
        <v>2384280</v>
      </c>
      <c r="G23" s="609"/>
      <c r="H23" s="603">
        <v>0.98</v>
      </c>
      <c r="I23" s="4"/>
      <c r="J23" s="4"/>
      <c r="K23" s="12"/>
      <c r="L23" s="122"/>
      <c r="M23" s="4"/>
    </row>
    <row r="24" spans="1:14" x14ac:dyDescent="0.2">
      <c r="A24" s="470">
        <v>46063</v>
      </c>
      <c r="B24" s="472">
        <v>24285</v>
      </c>
      <c r="C24" s="464"/>
      <c r="D24" s="464"/>
      <c r="E24" s="6">
        <v>0</v>
      </c>
      <c r="F24" s="6">
        <v>50</v>
      </c>
      <c r="G24" s="464"/>
      <c r="H24" s="14">
        <f>(E24*2.4+F24*6+G24*25)</f>
        <v>300</v>
      </c>
      <c r="I24" s="8">
        <f>(E24*E$23+F24*F$23 ) *H$23</f>
        <v>116829720</v>
      </c>
      <c r="J24" s="8">
        <f>(C24+D24+E24+F24+G24)</f>
        <v>50</v>
      </c>
      <c r="K24" s="9">
        <f>K20-J24</f>
        <v>650</v>
      </c>
      <c r="L24" s="122">
        <f>'[1]Area 4'!$D$43</f>
        <v>0</v>
      </c>
      <c r="M24" s="15">
        <f>L24-A24</f>
        <v>-46063</v>
      </c>
    </row>
    <row r="25" spans="1:14" x14ac:dyDescent="0.2">
      <c r="A25" s="470">
        <v>46076</v>
      </c>
      <c r="B25" s="472">
        <v>24291</v>
      </c>
      <c r="C25" s="464"/>
      <c r="D25" s="464"/>
      <c r="E25" s="6">
        <v>50</v>
      </c>
      <c r="F25" s="6">
        <v>100</v>
      </c>
      <c r="G25" s="464"/>
      <c r="H25" s="14">
        <f t="shared" ref="H25:H36" si="6">(E25*2.4+F25*6+G25*25)</f>
        <v>720</v>
      </c>
      <c r="I25" s="8">
        <f t="shared" ref="I25:I36" si="7">(E25*E$23+F25*F$23 ) *H$23</f>
        <v>344615040</v>
      </c>
      <c r="J25" s="8">
        <f>(C25+D25+E25+F25+G25)</f>
        <v>150</v>
      </c>
      <c r="K25" s="9">
        <f>K24-J25</f>
        <v>500</v>
      </c>
      <c r="L25" s="122">
        <f>'[1]Area 4'!$D$47</f>
        <v>0</v>
      </c>
      <c r="M25" s="15">
        <f>L25-A25</f>
        <v>-46076</v>
      </c>
    </row>
    <row r="26" spans="1:14" x14ac:dyDescent="0.2">
      <c r="A26" s="470"/>
      <c r="B26" s="472"/>
      <c r="C26" s="464"/>
      <c r="D26" s="464"/>
      <c r="E26" s="6"/>
      <c r="F26" s="6"/>
      <c r="G26" s="464"/>
      <c r="H26" s="14">
        <f t="shared" si="6"/>
        <v>0</v>
      </c>
      <c r="I26" s="8">
        <f t="shared" si="7"/>
        <v>0</v>
      </c>
      <c r="J26" s="8">
        <f>(C26+D26+E26+F26+G26)</f>
        <v>0</v>
      </c>
      <c r="K26" s="9">
        <f>K25-J26</f>
        <v>500</v>
      </c>
      <c r="L26" s="122"/>
      <c r="M26" s="15">
        <f>L26-A26</f>
        <v>0</v>
      </c>
    </row>
    <row r="27" spans="1:14" x14ac:dyDescent="0.2">
      <c r="A27" s="431"/>
      <c r="B27" s="112"/>
      <c r="C27" s="464"/>
      <c r="D27" s="464"/>
      <c r="E27" s="6"/>
      <c r="F27" s="6"/>
      <c r="G27" s="464"/>
      <c r="H27" s="14">
        <f t="shared" si="6"/>
        <v>0</v>
      </c>
      <c r="I27" s="8">
        <f t="shared" si="7"/>
        <v>0</v>
      </c>
      <c r="J27" s="8">
        <f>(C27+D27+E27+F27+G27)</f>
        <v>0</v>
      </c>
      <c r="K27" s="9">
        <f>K26-J27</f>
        <v>500</v>
      </c>
      <c r="L27" s="122"/>
      <c r="M27" s="15">
        <f>L27-A27</f>
        <v>0</v>
      </c>
    </row>
    <row r="28" spans="1:14" x14ac:dyDescent="0.2">
      <c r="A28" s="470"/>
      <c r="B28" s="12"/>
      <c r="C28" s="464"/>
      <c r="D28" s="464"/>
      <c r="E28" s="6"/>
      <c r="F28" s="6"/>
      <c r="G28" s="464"/>
      <c r="H28" s="14">
        <f t="shared" si="6"/>
        <v>0</v>
      </c>
      <c r="I28" s="8">
        <f t="shared" si="7"/>
        <v>0</v>
      </c>
      <c r="J28" s="8">
        <f>(C28+D28+E28+F28+G28)</f>
        <v>0</v>
      </c>
      <c r="K28" s="9">
        <f>K27-J28</f>
        <v>500</v>
      </c>
      <c r="L28" s="122"/>
      <c r="M28" s="15">
        <f>L28-A28</f>
        <v>0</v>
      </c>
    </row>
    <row r="29" spans="1:14" x14ac:dyDescent="0.2">
      <c r="A29" s="431"/>
      <c r="B29" s="112"/>
      <c r="C29" s="464"/>
      <c r="D29" s="464"/>
      <c r="E29" s="6"/>
      <c r="F29" s="6"/>
      <c r="G29" s="464"/>
      <c r="H29" s="14">
        <f t="shared" si="6"/>
        <v>0</v>
      </c>
      <c r="I29" s="8">
        <f t="shared" si="7"/>
        <v>0</v>
      </c>
      <c r="J29" s="8">
        <f t="shared" ref="J29:J34" si="8">(C29+D29+E29+F29+G29)</f>
        <v>0</v>
      </c>
      <c r="K29" s="9">
        <f t="shared" ref="K29:K37" si="9">K28-J29</f>
        <v>500</v>
      </c>
      <c r="L29" s="122"/>
      <c r="M29" s="15">
        <f t="shared" ref="M29:M34" si="10">L29-A29</f>
        <v>0</v>
      </c>
    </row>
    <row r="30" spans="1:14" x14ac:dyDescent="0.2">
      <c r="A30" s="470"/>
      <c r="B30" s="472"/>
      <c r="C30" s="464"/>
      <c r="D30" s="464"/>
      <c r="E30" s="6"/>
      <c r="F30" s="6"/>
      <c r="G30" s="464"/>
      <c r="H30" s="14">
        <f t="shared" si="6"/>
        <v>0</v>
      </c>
      <c r="I30" s="8">
        <f t="shared" si="7"/>
        <v>0</v>
      </c>
      <c r="J30" s="8">
        <f t="shared" si="8"/>
        <v>0</v>
      </c>
      <c r="K30" s="9">
        <f t="shared" si="9"/>
        <v>500</v>
      </c>
      <c r="L30" s="122"/>
      <c r="M30" s="15">
        <f t="shared" si="10"/>
        <v>0</v>
      </c>
    </row>
    <row r="31" spans="1:14" x14ac:dyDescent="0.2">
      <c r="A31" s="431"/>
      <c r="B31" s="472"/>
      <c r="C31" s="689"/>
      <c r="D31" s="689"/>
      <c r="E31" s="283"/>
      <c r="F31" s="283"/>
      <c r="G31" s="690"/>
      <c r="H31" s="14">
        <f t="shared" si="6"/>
        <v>0</v>
      </c>
      <c r="I31" s="8">
        <f t="shared" si="7"/>
        <v>0</v>
      </c>
      <c r="J31" s="284">
        <f t="shared" si="8"/>
        <v>0</v>
      </c>
      <c r="K31" s="349">
        <f t="shared" si="9"/>
        <v>500</v>
      </c>
      <c r="L31" s="258"/>
      <c r="M31" s="110">
        <f t="shared" si="10"/>
        <v>0</v>
      </c>
    </row>
    <row r="32" spans="1:14" x14ac:dyDescent="0.2">
      <c r="A32" s="431"/>
      <c r="B32" s="435"/>
      <c r="C32" s="689"/>
      <c r="D32" s="689"/>
      <c r="E32" s="6"/>
      <c r="F32" s="6"/>
      <c r="G32" s="464"/>
      <c r="H32" s="14">
        <f t="shared" si="6"/>
        <v>0</v>
      </c>
      <c r="I32" s="8">
        <f t="shared" si="7"/>
        <v>0</v>
      </c>
      <c r="J32" s="8">
        <f t="shared" si="8"/>
        <v>0</v>
      </c>
      <c r="K32" s="9">
        <f t="shared" si="9"/>
        <v>500</v>
      </c>
      <c r="L32" s="122"/>
      <c r="M32" s="15">
        <f t="shared" si="10"/>
        <v>0</v>
      </c>
    </row>
    <row r="33" spans="1:13" x14ac:dyDescent="0.2">
      <c r="A33" s="431"/>
      <c r="B33" s="437"/>
      <c r="C33" s="464"/>
      <c r="D33" s="464"/>
      <c r="E33" s="6"/>
      <c r="F33" s="6"/>
      <c r="G33" s="464"/>
      <c r="H33" s="14">
        <f t="shared" si="6"/>
        <v>0</v>
      </c>
      <c r="I33" s="8">
        <f t="shared" si="7"/>
        <v>0</v>
      </c>
      <c r="J33" s="8">
        <f t="shared" si="8"/>
        <v>0</v>
      </c>
      <c r="K33" s="9">
        <f t="shared" si="9"/>
        <v>500</v>
      </c>
      <c r="L33" s="122"/>
      <c r="M33" s="15">
        <f t="shared" si="10"/>
        <v>0</v>
      </c>
    </row>
    <row r="34" spans="1:13" x14ac:dyDescent="0.2">
      <c r="A34" s="431"/>
      <c r="B34" s="437"/>
      <c r="C34" s="464"/>
      <c r="D34" s="464"/>
      <c r="E34" s="6"/>
      <c r="F34" s="6"/>
      <c r="G34" s="464"/>
      <c r="H34" s="14">
        <f t="shared" si="6"/>
        <v>0</v>
      </c>
      <c r="I34" s="8">
        <f t="shared" si="7"/>
        <v>0</v>
      </c>
      <c r="J34" s="8">
        <f t="shared" si="8"/>
        <v>0</v>
      </c>
      <c r="K34" s="9">
        <f t="shared" si="9"/>
        <v>500</v>
      </c>
      <c r="L34" s="122"/>
      <c r="M34" s="15">
        <f t="shared" si="10"/>
        <v>0</v>
      </c>
    </row>
    <row r="35" spans="1:13" x14ac:dyDescent="0.2">
      <c r="A35" s="431"/>
      <c r="B35" s="437"/>
      <c r="C35" s="464"/>
      <c r="D35" s="464"/>
      <c r="E35" s="6"/>
      <c r="F35" s="6"/>
      <c r="G35" s="464"/>
      <c r="H35" s="14">
        <f t="shared" si="6"/>
        <v>0</v>
      </c>
      <c r="I35" s="8">
        <f t="shared" si="7"/>
        <v>0</v>
      </c>
      <c r="J35" s="8">
        <f>(C35+D35+E35+F35+G35)</f>
        <v>0</v>
      </c>
      <c r="K35" s="9">
        <f t="shared" si="9"/>
        <v>500</v>
      </c>
      <c r="L35" s="122"/>
      <c r="M35" s="15">
        <f>L35-A35</f>
        <v>0</v>
      </c>
    </row>
    <row r="36" spans="1:13" x14ac:dyDescent="0.2">
      <c r="A36" s="431"/>
      <c r="B36" s="437"/>
      <c r="C36" s="464"/>
      <c r="D36" s="464"/>
      <c r="E36" s="6"/>
      <c r="F36" s="6"/>
      <c r="G36" s="464"/>
      <c r="H36" s="14">
        <f t="shared" si="6"/>
        <v>0</v>
      </c>
      <c r="I36" s="8">
        <f t="shared" si="7"/>
        <v>0</v>
      </c>
      <c r="J36" s="8">
        <f>(C36+D36+E36+F36+G36)</f>
        <v>0</v>
      </c>
      <c r="K36" s="9">
        <f t="shared" si="9"/>
        <v>500</v>
      </c>
      <c r="L36" s="122"/>
      <c r="M36" s="15">
        <f>L36-A36</f>
        <v>0</v>
      </c>
    </row>
    <row r="37" spans="1:13" x14ac:dyDescent="0.2">
      <c r="A37" s="731" t="s">
        <v>18</v>
      </c>
      <c r="B37" s="732"/>
      <c r="C37" s="272">
        <f>SUM(C24:C34)</f>
        <v>0</v>
      </c>
      <c r="D37" s="272">
        <f>SUM(D24:D34)</f>
        <v>0</v>
      </c>
      <c r="E37" s="273">
        <f>SUM(E24:E36)</f>
        <v>50</v>
      </c>
      <c r="F37" s="273">
        <f>SUM(F24:F36)</f>
        <v>150</v>
      </c>
      <c r="G37" s="273"/>
      <c r="H37" s="218">
        <f>SUM(H24:H36)</f>
        <v>1020</v>
      </c>
      <c r="I37" s="79">
        <f>SUM(I24:I36)</f>
        <v>461444760</v>
      </c>
      <c r="J37" s="50">
        <f>SUM(J24:J36)</f>
        <v>200</v>
      </c>
      <c r="K37" s="9">
        <f t="shared" si="9"/>
        <v>300</v>
      </c>
      <c r="L37" s="121"/>
      <c r="M37" s="4"/>
    </row>
    <row r="38" spans="1:13" x14ac:dyDescent="0.2">
      <c r="A38" s="4"/>
      <c r="B38" s="121"/>
      <c r="C38" s="7"/>
      <c r="D38" s="7"/>
      <c r="E38" s="8"/>
      <c r="F38" s="8"/>
      <c r="G38" s="8"/>
      <c r="H38" s="14"/>
      <c r="I38" s="57" t="s">
        <v>46</v>
      </c>
      <c r="J38" s="64">
        <f>J37/K20%</f>
        <v>28.571428571428573</v>
      </c>
      <c r="K38" s="53">
        <f>K37/K20%</f>
        <v>42.857142857142854</v>
      </c>
      <c r="L38" s="121"/>
      <c r="M38" s="4"/>
    </row>
    <row r="41" spans="1:13" x14ac:dyDescent="0.2">
      <c r="A41" s="867" t="s">
        <v>278</v>
      </c>
      <c r="B41" s="867"/>
      <c r="C41" s="867"/>
      <c r="D41" s="867"/>
      <c r="E41" s="867"/>
      <c r="F41" s="867"/>
      <c r="G41" s="873">
        <f>K20+K4</f>
        <v>750</v>
      </c>
      <c r="H41" s="874"/>
    </row>
    <row r="43" spans="1:13" x14ac:dyDescent="0.2">
      <c r="F43" s="32"/>
      <c r="G43" s="32"/>
    </row>
    <row r="44" spans="1:13" x14ac:dyDescent="0.2">
      <c r="A44" s="869" t="s">
        <v>125</v>
      </c>
      <c r="B44" s="869"/>
      <c r="C44" s="869"/>
      <c r="D44" s="869"/>
      <c r="E44" s="869"/>
      <c r="F44" s="622"/>
      <c r="G44" s="875">
        <f>J37+J15</f>
        <v>200</v>
      </c>
      <c r="H44" s="875"/>
    </row>
    <row r="45" spans="1:13" x14ac:dyDescent="0.2">
      <c r="F45" s="32"/>
      <c r="G45" s="282"/>
    </row>
    <row r="46" spans="1:13" x14ac:dyDescent="0.2">
      <c r="A46" s="865" t="s">
        <v>124</v>
      </c>
      <c r="B46" s="865"/>
      <c r="C46" s="865"/>
      <c r="D46" s="865"/>
      <c r="E46" s="865"/>
      <c r="F46" s="632"/>
      <c r="G46" s="870">
        <f>G41-G44</f>
        <v>550</v>
      </c>
      <c r="H46" s="870"/>
    </row>
    <row r="47" spans="1:13" x14ac:dyDescent="0.2">
      <c r="F47" s="32"/>
      <c r="G47" s="282"/>
    </row>
    <row r="48" spans="1:13" x14ac:dyDescent="0.2">
      <c r="A48" s="866" t="s">
        <v>50</v>
      </c>
      <c r="B48" s="866"/>
      <c r="C48" s="866"/>
      <c r="D48" s="866"/>
      <c r="E48" s="866"/>
      <c r="F48" s="627"/>
      <c r="G48" s="868">
        <f>G44/G41%</f>
        <v>26.666666666666668</v>
      </c>
      <c r="H48" s="868"/>
    </row>
    <row r="49" spans="1:9" x14ac:dyDescent="0.2">
      <c r="A49" s="73"/>
      <c r="B49" s="127"/>
      <c r="C49" s="73"/>
      <c r="D49" s="73"/>
      <c r="E49" s="73"/>
      <c r="F49" s="66"/>
      <c r="G49" s="74"/>
    </row>
    <row r="50" spans="1:9" x14ac:dyDescent="0.2">
      <c r="A50" s="866" t="s">
        <v>123</v>
      </c>
      <c r="B50" s="866"/>
      <c r="C50" s="866"/>
      <c r="D50" s="866"/>
      <c r="E50" s="866"/>
      <c r="F50" s="627"/>
      <c r="G50" s="868">
        <f>G46/G41%</f>
        <v>73.333333333333329</v>
      </c>
      <c r="H50" s="868"/>
    </row>
    <row r="51" spans="1:9" x14ac:dyDescent="0.2">
      <c r="F51" s="32"/>
      <c r="G51" s="32"/>
    </row>
    <row r="52" spans="1:9" x14ac:dyDescent="0.2">
      <c r="A52" s="831" t="s">
        <v>55</v>
      </c>
      <c r="B52" s="831"/>
      <c r="C52" s="831"/>
      <c r="D52" s="831"/>
      <c r="E52" s="831"/>
      <c r="F52" s="831"/>
      <c r="G52" s="872">
        <f>H37+H15</f>
        <v>1020</v>
      </c>
      <c r="H52" s="872"/>
    </row>
    <row r="53" spans="1:9" x14ac:dyDescent="0.2">
      <c r="F53" s="34"/>
      <c r="G53" s="34"/>
    </row>
    <row r="54" spans="1:9" x14ac:dyDescent="0.2">
      <c r="A54" s="791" t="s">
        <v>122</v>
      </c>
      <c r="B54" s="791"/>
      <c r="C54" s="791"/>
      <c r="D54" s="791"/>
      <c r="E54" s="791"/>
      <c r="F54" s="633"/>
      <c r="G54" s="792">
        <f>I37+I15</f>
        <v>461444760</v>
      </c>
      <c r="H54" s="792"/>
      <c r="I54" s="237"/>
    </row>
  </sheetData>
  <mergeCells count="34">
    <mergeCell ref="G52:H52"/>
    <mergeCell ref="A48:E48"/>
    <mergeCell ref="A54:E54"/>
    <mergeCell ref="A52:F52"/>
    <mergeCell ref="B20:J20"/>
    <mergeCell ref="A46:E46"/>
    <mergeCell ref="G41:H41"/>
    <mergeCell ref="A21:A22"/>
    <mergeCell ref="G54:H54"/>
    <mergeCell ref="G44:H44"/>
    <mergeCell ref="A1:M1"/>
    <mergeCell ref="L5:L6"/>
    <mergeCell ref="A15:B15"/>
    <mergeCell ref="H21:J21"/>
    <mergeCell ref="B4:J4"/>
    <mergeCell ref="L3:M4"/>
    <mergeCell ref="H5:J5"/>
    <mergeCell ref="C5:G5"/>
    <mergeCell ref="B21:B22"/>
    <mergeCell ref="L21:L22"/>
    <mergeCell ref="L19:M20"/>
    <mergeCell ref="G46:H46"/>
    <mergeCell ref="G48:H48"/>
    <mergeCell ref="A2:K2"/>
    <mergeCell ref="B3:J3"/>
    <mergeCell ref="A5:A6"/>
    <mergeCell ref="B5:B6"/>
    <mergeCell ref="B19:J19"/>
    <mergeCell ref="G50:H50"/>
    <mergeCell ref="A44:E44"/>
    <mergeCell ref="A37:B37"/>
    <mergeCell ref="C21:G21"/>
    <mergeCell ref="A50:E50"/>
    <mergeCell ref="A41:F41"/>
  </mergeCells>
  <phoneticPr fontId="0" type="noConversion"/>
  <pageMargins left="0.35" right="0" top="0.39370078740157483" bottom="0.39370078740157483" header="0.51181102362204722" footer="0.51181102362204722"/>
  <pageSetup paperSize="5" orientation="portrait" horizontalDpi="180" verticalDpi="18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359BF-3259-44B5-AB9A-090B80952AC8}">
  <dimension ref="A1:M33"/>
  <sheetViews>
    <sheetView workbookViewId="0">
      <selection activeCell="J8" sqref="J8"/>
    </sheetView>
  </sheetViews>
  <sheetFormatPr defaultRowHeight="12.75" x14ac:dyDescent="0.2"/>
  <cols>
    <col min="1" max="1" width="8.7109375" customWidth="1"/>
    <col min="2" max="2" width="7.85546875" style="123" customWidth="1"/>
    <col min="3" max="4" width="9.28515625" customWidth="1"/>
    <col min="5" max="5" width="9.5703125" customWidth="1"/>
    <col min="6" max="6" width="9.42578125" customWidth="1"/>
    <col min="7" max="7" width="12.5703125" customWidth="1"/>
    <col min="8" max="8" width="7.5703125" customWidth="1"/>
    <col min="9" max="9" width="7.85546875" customWidth="1"/>
    <col min="10" max="10" width="9.28515625" style="123" customWidth="1"/>
    <col min="11" max="11" width="7" customWidth="1"/>
    <col min="12" max="12" width="13.140625" style="71" customWidth="1"/>
  </cols>
  <sheetData>
    <row r="1" spans="1:13" ht="18" x14ac:dyDescent="0.2">
      <c r="A1" s="876" t="s">
        <v>232</v>
      </c>
      <c r="B1" s="876"/>
      <c r="C1" s="876"/>
      <c r="D1" s="876"/>
      <c r="E1" s="876"/>
      <c r="F1" s="876"/>
      <c r="G1" s="876"/>
      <c r="H1" s="876"/>
      <c r="I1" s="876"/>
      <c r="J1" s="876"/>
      <c r="K1" s="876"/>
      <c r="L1" s="876"/>
      <c r="M1" s="71"/>
    </row>
    <row r="2" spans="1:13" ht="26.25" x14ac:dyDescent="0.2">
      <c r="A2" s="794" t="str">
        <f>GDSL!A2</f>
        <v>TAHUN 2026</v>
      </c>
      <c r="B2" s="794"/>
      <c r="C2" s="794"/>
      <c r="D2" s="794"/>
      <c r="E2" s="794"/>
      <c r="F2" s="794"/>
      <c r="G2" s="794"/>
      <c r="H2" s="794"/>
      <c r="I2" s="794"/>
      <c r="J2" s="794"/>
      <c r="K2" s="794"/>
      <c r="L2" s="282"/>
      <c r="M2" s="71"/>
    </row>
    <row r="3" spans="1:13" ht="15.75" x14ac:dyDescent="0.25">
      <c r="A3" s="93" t="s">
        <v>0</v>
      </c>
      <c r="B3" s="860" t="s">
        <v>225</v>
      </c>
      <c r="C3" s="860"/>
      <c r="D3" s="860"/>
      <c r="E3" s="860"/>
      <c r="F3" s="860"/>
      <c r="G3" s="860"/>
      <c r="H3" s="860"/>
      <c r="I3" s="70" t="s">
        <v>11</v>
      </c>
      <c r="J3" s="739" t="s">
        <v>15</v>
      </c>
      <c r="K3" s="739"/>
      <c r="L3" s="705">
        <v>46062</v>
      </c>
    </row>
    <row r="4" spans="1:13" ht="14.25" x14ac:dyDescent="0.2">
      <c r="A4" s="93" t="s">
        <v>1</v>
      </c>
      <c r="B4" s="861" t="s">
        <v>224</v>
      </c>
      <c r="C4" s="861"/>
      <c r="D4" s="861"/>
      <c r="E4" s="861"/>
      <c r="F4" s="861"/>
      <c r="G4" s="861"/>
      <c r="H4" s="861"/>
      <c r="I4" s="69">
        <v>1000</v>
      </c>
      <c r="J4" s="739"/>
      <c r="K4" s="739"/>
    </row>
    <row r="5" spans="1:13" x14ac:dyDescent="0.2">
      <c r="A5" s="726" t="s">
        <v>3</v>
      </c>
      <c r="B5" s="834" t="s">
        <v>2</v>
      </c>
      <c r="C5" s="731" t="s">
        <v>19</v>
      </c>
      <c r="D5" s="837"/>
      <c r="E5" s="837"/>
      <c r="F5" s="731" t="s">
        <v>24</v>
      </c>
      <c r="G5" s="837"/>
      <c r="H5" s="732"/>
      <c r="I5" s="84" t="s">
        <v>12</v>
      </c>
      <c r="J5" s="726" t="s">
        <v>3</v>
      </c>
      <c r="K5" s="94" t="s">
        <v>13</v>
      </c>
    </row>
    <row r="6" spans="1:13" x14ac:dyDescent="0.2">
      <c r="A6" s="726"/>
      <c r="B6" s="834"/>
      <c r="C6" s="4" t="s">
        <v>27</v>
      </c>
      <c r="D6" s="4" t="s">
        <v>30</v>
      </c>
      <c r="E6" s="22" t="s">
        <v>228</v>
      </c>
      <c r="F6" s="217" t="s">
        <v>23</v>
      </c>
      <c r="G6" s="82" t="s">
        <v>8</v>
      </c>
      <c r="H6" s="5" t="s">
        <v>29</v>
      </c>
      <c r="I6" s="618" t="s">
        <v>29</v>
      </c>
      <c r="J6" s="726"/>
      <c r="K6" s="94" t="s">
        <v>14</v>
      </c>
    </row>
    <row r="7" spans="1:13" x14ac:dyDescent="0.2">
      <c r="A7" s="676" t="s">
        <v>182</v>
      </c>
      <c r="B7" s="677">
        <v>45931</v>
      </c>
      <c r="C7" s="686">
        <v>4884000</v>
      </c>
      <c r="D7" s="686">
        <v>9146400</v>
      </c>
      <c r="E7" s="686">
        <v>10642680</v>
      </c>
      <c r="F7" s="687">
        <v>0.95</v>
      </c>
      <c r="G7" s="256"/>
      <c r="H7" s="43"/>
      <c r="I7" s="12"/>
      <c r="J7" s="122"/>
      <c r="K7" s="4"/>
    </row>
    <row r="8" spans="1:13" x14ac:dyDescent="0.2">
      <c r="A8" s="431">
        <v>46034</v>
      </c>
      <c r="B8" s="435">
        <v>24278</v>
      </c>
      <c r="C8" s="6">
        <v>20</v>
      </c>
      <c r="D8" s="283">
        <v>5</v>
      </c>
      <c r="E8" s="6">
        <v>0</v>
      </c>
      <c r="F8" s="7"/>
      <c r="G8" s="8">
        <f>(C$7*C8+D$7*D8+E$7*E$8)*F$7</f>
        <v>136241400</v>
      </c>
      <c r="H8" s="8">
        <f t="shared" ref="H8:H15" si="0">C8*5+D8*10+E8*12</f>
        <v>150</v>
      </c>
      <c r="I8" s="9">
        <f>I4-H8</f>
        <v>850</v>
      </c>
      <c r="J8" s="122">
        <f>'[1]Area 3'!$D$12</f>
        <v>46063</v>
      </c>
      <c r="K8" s="10">
        <f t="shared" ref="K8:K15" si="1">J8-A8</f>
        <v>29</v>
      </c>
    </row>
    <row r="9" spans="1:13" x14ac:dyDescent="0.2">
      <c r="A9" s="431"/>
      <c r="B9" s="112"/>
      <c r="C9" s="6"/>
      <c r="D9" s="283"/>
      <c r="E9" s="6"/>
      <c r="F9" s="7"/>
      <c r="G9" s="8">
        <f t="shared" ref="G9:G15" si="2">(C$7*C9+D$7*D9+E$7*E$8)*F$7</f>
        <v>0</v>
      </c>
      <c r="H9" s="8">
        <f t="shared" si="0"/>
        <v>0</v>
      </c>
      <c r="I9" s="9">
        <f t="shared" ref="I9:I15" si="3">I8-H9</f>
        <v>850</v>
      </c>
      <c r="J9" s="122"/>
      <c r="K9" s="10">
        <f t="shared" si="1"/>
        <v>0</v>
      </c>
    </row>
    <row r="10" spans="1:13" x14ac:dyDescent="0.2">
      <c r="A10" s="431"/>
      <c r="B10" s="433"/>
      <c r="C10" s="6"/>
      <c r="D10" s="283"/>
      <c r="E10" s="6"/>
      <c r="F10" s="7"/>
      <c r="G10" s="8">
        <f t="shared" si="2"/>
        <v>0</v>
      </c>
      <c r="H10" s="8">
        <f t="shared" si="0"/>
        <v>0</v>
      </c>
      <c r="I10" s="9">
        <f t="shared" si="3"/>
        <v>850</v>
      </c>
      <c r="J10" s="122"/>
      <c r="K10" s="10">
        <f t="shared" si="1"/>
        <v>0</v>
      </c>
    </row>
    <row r="11" spans="1:13" x14ac:dyDescent="0.2">
      <c r="A11" s="431"/>
      <c r="B11" s="112"/>
      <c r="C11" s="6"/>
      <c r="D11" s="283"/>
      <c r="E11" s="6"/>
      <c r="F11" s="7"/>
      <c r="G11" s="8">
        <f t="shared" si="2"/>
        <v>0</v>
      </c>
      <c r="H11" s="8">
        <f t="shared" si="0"/>
        <v>0</v>
      </c>
      <c r="I11" s="9">
        <f t="shared" si="3"/>
        <v>850</v>
      </c>
      <c r="J11" s="122"/>
      <c r="K11" s="10">
        <f t="shared" si="1"/>
        <v>0</v>
      </c>
    </row>
    <row r="12" spans="1:13" x14ac:dyDescent="0.2">
      <c r="A12" s="431"/>
      <c r="B12" s="112"/>
      <c r="C12" s="6"/>
      <c r="D12" s="283"/>
      <c r="E12" s="6"/>
      <c r="F12" s="7"/>
      <c r="G12" s="8">
        <f t="shared" si="2"/>
        <v>0</v>
      </c>
      <c r="H12" s="8">
        <f t="shared" si="0"/>
        <v>0</v>
      </c>
      <c r="I12" s="13">
        <f t="shared" si="3"/>
        <v>850</v>
      </c>
      <c r="J12" s="122"/>
      <c r="K12" s="10">
        <f t="shared" si="1"/>
        <v>0</v>
      </c>
    </row>
    <row r="13" spans="1:13" x14ac:dyDescent="0.2">
      <c r="A13" s="431"/>
      <c r="B13" s="112"/>
      <c r="C13" s="6"/>
      <c r="D13" s="283"/>
      <c r="E13" s="6"/>
      <c r="F13" s="7"/>
      <c r="G13" s="8">
        <f t="shared" si="2"/>
        <v>0</v>
      </c>
      <c r="H13" s="8">
        <f>C13*5+D13*10+E13*12</f>
        <v>0</v>
      </c>
      <c r="I13" s="13">
        <f t="shared" si="3"/>
        <v>850</v>
      </c>
      <c r="J13" s="122"/>
      <c r="K13" s="10">
        <f t="shared" si="1"/>
        <v>0</v>
      </c>
    </row>
    <row r="14" spans="1:13" x14ac:dyDescent="0.2">
      <c r="A14" s="431"/>
      <c r="B14" s="112"/>
      <c r="C14" s="6"/>
      <c r="D14" s="283"/>
      <c r="E14" s="6"/>
      <c r="F14" s="7"/>
      <c r="G14" s="8">
        <f t="shared" si="2"/>
        <v>0</v>
      </c>
      <c r="H14" s="8">
        <f t="shared" si="0"/>
        <v>0</v>
      </c>
      <c r="I14" s="13">
        <f t="shared" si="3"/>
        <v>850</v>
      </c>
      <c r="J14" s="122"/>
      <c r="K14" s="10">
        <f t="shared" si="1"/>
        <v>0</v>
      </c>
    </row>
    <row r="15" spans="1:13" x14ac:dyDescent="0.2">
      <c r="A15" s="431"/>
      <c r="B15" s="112"/>
      <c r="C15" s="6"/>
      <c r="D15" s="283"/>
      <c r="E15" s="6"/>
      <c r="F15" s="7"/>
      <c r="G15" s="8">
        <f t="shared" si="2"/>
        <v>0</v>
      </c>
      <c r="H15" s="8">
        <f t="shared" si="0"/>
        <v>0</v>
      </c>
      <c r="I15" s="13">
        <f t="shared" si="3"/>
        <v>850</v>
      </c>
      <c r="J15" s="122"/>
      <c r="K15" s="10">
        <f t="shared" si="1"/>
        <v>0</v>
      </c>
    </row>
    <row r="16" spans="1:13" x14ac:dyDescent="0.2">
      <c r="A16" s="731" t="s">
        <v>18</v>
      </c>
      <c r="B16" s="732"/>
      <c r="C16" s="272">
        <f t="shared" ref="C16:H16" si="4">SUM(C8:C15)</f>
        <v>20</v>
      </c>
      <c r="D16" s="272">
        <f t="shared" si="4"/>
        <v>5</v>
      </c>
      <c r="E16" s="273">
        <f t="shared" si="4"/>
        <v>0</v>
      </c>
      <c r="F16" s="215">
        <f t="shared" si="4"/>
        <v>0</v>
      </c>
      <c r="G16" s="79">
        <f t="shared" si="4"/>
        <v>136241400</v>
      </c>
      <c r="H16" s="50">
        <f t="shared" si="4"/>
        <v>150</v>
      </c>
      <c r="I16" s="359">
        <f>I4-H16</f>
        <v>850</v>
      </c>
      <c r="J16" s="121"/>
      <c r="K16" s="4"/>
    </row>
    <row r="17" spans="1:12" x14ac:dyDescent="0.2">
      <c r="A17" s="4"/>
      <c r="B17" s="121"/>
      <c r="C17" s="7"/>
      <c r="D17" s="7"/>
      <c r="E17" s="284"/>
      <c r="F17" s="14"/>
      <c r="G17" s="57" t="s">
        <v>46</v>
      </c>
      <c r="H17" s="64">
        <f>H16/I4%</f>
        <v>15</v>
      </c>
      <c r="I17" s="53">
        <f>I16/I4%</f>
        <v>85</v>
      </c>
      <c r="J17" s="121"/>
      <c r="K17" s="4"/>
      <c r="L17"/>
    </row>
    <row r="18" spans="1:12" x14ac:dyDescent="0.2">
      <c r="A18" s="16"/>
      <c r="B18" s="125"/>
      <c r="C18" s="17"/>
      <c r="D18" s="17"/>
      <c r="E18" s="18"/>
      <c r="F18" s="23"/>
      <c r="G18" s="106"/>
      <c r="H18" s="107"/>
      <c r="I18" s="108"/>
      <c r="J18" s="125"/>
      <c r="K18" s="16"/>
      <c r="L18"/>
    </row>
    <row r="19" spans="1:12" x14ac:dyDescent="0.2">
      <c r="A19" s="16"/>
      <c r="B19" s="125"/>
      <c r="C19" s="17"/>
      <c r="D19" s="17"/>
      <c r="E19" s="18"/>
      <c r="F19" s="23"/>
      <c r="G19" s="100"/>
      <c r="H19" s="101"/>
      <c r="I19" s="111"/>
      <c r="J19" s="125"/>
      <c r="K19" s="16"/>
      <c r="L19"/>
    </row>
    <row r="21" spans="1:12" x14ac:dyDescent="0.2">
      <c r="A21" s="815" t="s">
        <v>279</v>
      </c>
      <c r="B21" s="815"/>
      <c r="C21" s="815"/>
      <c r="D21" s="815"/>
      <c r="E21" s="815"/>
      <c r="F21" s="815"/>
      <c r="G21" s="289">
        <f>I4</f>
        <v>1000</v>
      </c>
      <c r="L21"/>
    </row>
    <row r="22" spans="1:12" x14ac:dyDescent="0.2">
      <c r="F22" s="32"/>
      <c r="L22"/>
    </row>
    <row r="23" spans="1:12" x14ac:dyDescent="0.2">
      <c r="A23" s="877" t="s">
        <v>229</v>
      </c>
      <c r="B23" s="877"/>
      <c r="C23" s="877"/>
      <c r="D23" s="877"/>
      <c r="E23" s="877"/>
      <c r="F23" s="877"/>
      <c r="G23" s="634">
        <f>H16</f>
        <v>150</v>
      </c>
      <c r="L23"/>
    </row>
    <row r="24" spans="1:12" x14ac:dyDescent="0.2">
      <c r="F24" s="32"/>
      <c r="L24"/>
    </row>
    <row r="25" spans="1:12" x14ac:dyDescent="0.2">
      <c r="A25" s="865" t="s">
        <v>113</v>
      </c>
      <c r="B25" s="865"/>
      <c r="C25" s="865"/>
      <c r="D25" s="865"/>
      <c r="E25" s="865"/>
      <c r="F25" s="865"/>
      <c r="G25" s="632">
        <f>G21-G23</f>
        <v>850</v>
      </c>
      <c r="L25"/>
    </row>
    <row r="26" spans="1:12" x14ac:dyDescent="0.2">
      <c r="F26" s="32"/>
      <c r="L26"/>
    </row>
    <row r="27" spans="1:12" x14ac:dyDescent="0.2">
      <c r="A27" s="748" t="s">
        <v>50</v>
      </c>
      <c r="B27" s="748"/>
      <c r="C27" s="748"/>
      <c r="D27" s="748"/>
      <c r="E27" s="748"/>
      <c r="F27" s="748"/>
      <c r="G27" s="635">
        <f>G23/G21%</f>
        <v>15</v>
      </c>
      <c r="L27"/>
    </row>
    <row r="28" spans="1:12" x14ac:dyDescent="0.2">
      <c r="A28" s="73"/>
      <c r="B28" s="127"/>
      <c r="C28" s="73"/>
      <c r="D28" s="73"/>
      <c r="E28" s="73"/>
      <c r="F28" s="66"/>
      <c r="L28"/>
    </row>
    <row r="29" spans="1:12" x14ac:dyDescent="0.2">
      <c r="A29" s="748" t="s">
        <v>51</v>
      </c>
      <c r="B29" s="748"/>
      <c r="C29" s="748"/>
      <c r="D29" s="748"/>
      <c r="E29" s="748"/>
      <c r="F29" s="748"/>
      <c r="G29" s="635">
        <f>G25/G21%</f>
        <v>85</v>
      </c>
      <c r="L29"/>
    </row>
    <row r="30" spans="1:12" x14ac:dyDescent="0.2">
      <c r="F30" s="32"/>
      <c r="L30"/>
    </row>
    <row r="31" spans="1:12" x14ac:dyDescent="0.2">
      <c r="A31" s="869" t="s">
        <v>230</v>
      </c>
      <c r="B31" s="869"/>
      <c r="C31" s="869"/>
      <c r="D31" s="869"/>
      <c r="E31" s="869"/>
      <c r="F31" s="636"/>
      <c r="G31" s="637">
        <f>F16</f>
        <v>0</v>
      </c>
      <c r="L31"/>
    </row>
    <row r="33" spans="1:12" x14ac:dyDescent="0.2">
      <c r="A33" s="791" t="s">
        <v>118</v>
      </c>
      <c r="B33" s="791"/>
      <c r="C33" s="791"/>
      <c r="D33" s="791"/>
      <c r="E33" s="791"/>
      <c r="F33" s="792">
        <f>G16</f>
        <v>136241400</v>
      </c>
      <c r="G33" s="792"/>
      <c r="J33"/>
      <c r="L33"/>
    </row>
  </sheetData>
  <mergeCells count="19">
    <mergeCell ref="A2:K2"/>
    <mergeCell ref="A16:B16"/>
    <mergeCell ref="B3:H3"/>
    <mergeCell ref="J3:K4"/>
    <mergeCell ref="B4:H4"/>
    <mergeCell ref="A5:A6"/>
    <mergeCell ref="B5:B6"/>
    <mergeCell ref="C5:E5"/>
    <mergeCell ref="F5:H5"/>
    <mergeCell ref="A1:L1"/>
    <mergeCell ref="J5:J6"/>
    <mergeCell ref="F33:G33"/>
    <mergeCell ref="A31:E31"/>
    <mergeCell ref="A33:E33"/>
    <mergeCell ref="A21:F21"/>
    <mergeCell ref="A23:F23"/>
    <mergeCell ref="A25:F25"/>
    <mergeCell ref="A27:F27"/>
    <mergeCell ref="A29:F29"/>
  </mergeCells>
  <pageMargins left="0.7" right="0.7" top="0.75" bottom="0.75" header="0.3" footer="0.3"/>
  <pageSetup orientation="portrait" horizontalDpi="120" verticalDpi="72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C64AB-FA98-4FA5-8FF9-2DCA5F99814D}">
  <dimension ref="A1:M38"/>
  <sheetViews>
    <sheetView workbookViewId="0">
      <selection activeCell="J8" sqref="J8"/>
    </sheetView>
  </sheetViews>
  <sheetFormatPr defaultRowHeight="12.75" x14ac:dyDescent="0.2"/>
  <cols>
    <col min="1" max="1" width="8.7109375" customWidth="1"/>
    <col min="2" max="2" width="7.85546875" style="123" customWidth="1"/>
    <col min="3" max="4" width="9.28515625" customWidth="1"/>
    <col min="5" max="5" width="8.7109375" customWidth="1"/>
    <col min="6" max="6" width="8.85546875" customWidth="1"/>
    <col min="7" max="7" width="12.5703125" customWidth="1"/>
    <col min="8" max="8" width="8.5703125" customWidth="1"/>
    <col min="9" max="9" width="9.5703125" customWidth="1"/>
    <col min="10" max="10" width="9.28515625" style="123" customWidth="1"/>
    <col min="11" max="11" width="8" customWidth="1"/>
    <col min="12" max="12" width="14.7109375" style="71" customWidth="1"/>
  </cols>
  <sheetData>
    <row r="1" spans="1:13" ht="18" x14ac:dyDescent="0.25">
      <c r="A1" s="788" t="s">
        <v>232</v>
      </c>
      <c r="B1" s="788"/>
      <c r="C1" s="788"/>
      <c r="D1" s="788"/>
      <c r="E1" s="788"/>
      <c r="F1" s="788"/>
      <c r="G1" s="788"/>
      <c r="H1" s="788"/>
      <c r="I1" s="788"/>
      <c r="J1" s="788"/>
      <c r="K1" s="788"/>
      <c r="L1" s="282"/>
      <c r="M1" s="71"/>
    </row>
    <row r="2" spans="1:13" ht="26.25" x14ac:dyDescent="0.2">
      <c r="A2" s="794" t="str">
        <f>GDSL!A2</f>
        <v>TAHUN 2026</v>
      </c>
      <c r="B2" s="794"/>
      <c r="C2" s="794"/>
      <c r="D2" s="794"/>
      <c r="E2" s="794"/>
      <c r="F2" s="794"/>
      <c r="G2" s="794"/>
      <c r="H2" s="794"/>
      <c r="I2" s="794"/>
      <c r="J2" s="794"/>
      <c r="K2" s="794"/>
      <c r="L2" s="282"/>
      <c r="M2" s="71"/>
    </row>
    <row r="3" spans="1:13" ht="15.75" x14ac:dyDescent="0.25">
      <c r="A3" s="93" t="s">
        <v>0</v>
      </c>
      <c r="B3" s="860" t="s">
        <v>226</v>
      </c>
      <c r="C3" s="860"/>
      <c r="D3" s="860"/>
      <c r="E3" s="860"/>
      <c r="F3" s="860"/>
      <c r="G3" s="860"/>
      <c r="H3" s="860"/>
      <c r="I3" s="70" t="s">
        <v>11</v>
      </c>
      <c r="J3" s="739" t="s">
        <v>15</v>
      </c>
      <c r="K3" s="739"/>
      <c r="L3" s="705">
        <v>46062</v>
      </c>
    </row>
    <row r="4" spans="1:13" ht="14.25" x14ac:dyDescent="0.2">
      <c r="A4" s="93" t="s">
        <v>1</v>
      </c>
      <c r="B4" s="861" t="s">
        <v>224</v>
      </c>
      <c r="C4" s="861"/>
      <c r="D4" s="861"/>
      <c r="E4" s="861"/>
      <c r="F4" s="861"/>
      <c r="G4" s="861"/>
      <c r="H4" s="861"/>
      <c r="I4" s="69">
        <v>1000</v>
      </c>
      <c r="J4" s="739"/>
      <c r="K4" s="739"/>
    </row>
    <row r="5" spans="1:13" x14ac:dyDescent="0.2">
      <c r="A5" s="726" t="s">
        <v>3</v>
      </c>
      <c r="B5" s="834" t="s">
        <v>2</v>
      </c>
      <c r="C5" s="731" t="s">
        <v>19</v>
      </c>
      <c r="D5" s="837"/>
      <c r="E5" s="837"/>
      <c r="F5" s="731" t="s">
        <v>24</v>
      </c>
      <c r="G5" s="837"/>
      <c r="H5" s="732"/>
      <c r="I5" s="84" t="s">
        <v>12</v>
      </c>
      <c r="J5" s="726" t="s">
        <v>3</v>
      </c>
      <c r="K5" s="94" t="s">
        <v>13</v>
      </c>
    </row>
    <row r="6" spans="1:13" x14ac:dyDescent="0.2">
      <c r="A6" s="726"/>
      <c r="B6" s="834"/>
      <c r="C6" s="4" t="s">
        <v>43</v>
      </c>
      <c r="D6" s="4" t="s">
        <v>45</v>
      </c>
      <c r="E6" s="4" t="s">
        <v>42</v>
      </c>
      <c r="F6" s="563" t="s">
        <v>23</v>
      </c>
      <c r="G6" s="82" t="s">
        <v>8</v>
      </c>
      <c r="H6" s="563" t="s">
        <v>9</v>
      </c>
      <c r="I6" s="457" t="s">
        <v>9</v>
      </c>
      <c r="J6" s="726"/>
      <c r="K6" s="94" t="s">
        <v>14</v>
      </c>
    </row>
    <row r="7" spans="1:13" x14ac:dyDescent="0.2">
      <c r="A7" s="676" t="s">
        <v>182</v>
      </c>
      <c r="B7" s="677">
        <v>45931</v>
      </c>
      <c r="C7" s="686">
        <v>3885000</v>
      </c>
      <c r="D7" s="686">
        <v>5727600</v>
      </c>
      <c r="E7" s="686">
        <v>8178480</v>
      </c>
      <c r="F7" s="687">
        <v>0.95</v>
      </c>
      <c r="G7" s="256"/>
      <c r="H7" s="43"/>
      <c r="I7" s="12"/>
      <c r="J7" s="122"/>
      <c r="K7" s="4"/>
    </row>
    <row r="8" spans="1:13" x14ac:dyDescent="0.2">
      <c r="A8" s="431">
        <v>46077</v>
      </c>
      <c r="B8" s="112">
        <v>24292</v>
      </c>
      <c r="C8" s="6">
        <v>5</v>
      </c>
      <c r="D8" s="283">
        <v>0</v>
      </c>
      <c r="E8" s="6">
        <v>0</v>
      </c>
      <c r="F8" s="8">
        <f t="shared" ref="F8:F14" si="0">C8+D8+E8</f>
        <v>5</v>
      </c>
      <c r="G8" s="8">
        <f>(C8*C$7+D8*D$7+E8*E$7)*F$7</f>
        <v>18453750</v>
      </c>
      <c r="H8" s="14">
        <f t="shared" ref="H8:H14" si="1">C8*2.5+D8*4+E8*6</f>
        <v>12.5</v>
      </c>
      <c r="I8" s="9">
        <f>I4-H8</f>
        <v>987.5</v>
      </c>
      <c r="J8" s="122">
        <f>'[1]Area 3'!$D$17</f>
        <v>0</v>
      </c>
      <c r="K8" s="10">
        <f t="shared" ref="K8:K14" si="2">J8-A8</f>
        <v>-46077</v>
      </c>
    </row>
    <row r="9" spans="1:13" x14ac:dyDescent="0.2">
      <c r="A9" s="431"/>
      <c r="B9" s="112"/>
      <c r="C9" s="6"/>
      <c r="D9" s="283"/>
      <c r="E9" s="6"/>
      <c r="F9" s="8">
        <f t="shared" si="0"/>
        <v>0</v>
      </c>
      <c r="G9" s="8">
        <f t="shared" ref="G9:G20" si="3">(C9*C$7+D9*D$7+E9*E$7)*F$7</f>
        <v>0</v>
      </c>
      <c r="H9" s="14">
        <f t="shared" si="1"/>
        <v>0</v>
      </c>
      <c r="I9" s="9">
        <f t="shared" ref="I9:I14" si="4">I8-H9</f>
        <v>987.5</v>
      </c>
      <c r="J9" s="124"/>
      <c r="K9" s="10">
        <f t="shared" si="2"/>
        <v>0</v>
      </c>
    </row>
    <row r="10" spans="1:13" x14ac:dyDescent="0.2">
      <c r="A10" s="431"/>
      <c r="B10" s="112"/>
      <c r="C10" s="6"/>
      <c r="D10" s="283"/>
      <c r="E10" s="6"/>
      <c r="F10" s="8">
        <f t="shared" si="0"/>
        <v>0</v>
      </c>
      <c r="G10" s="8">
        <f t="shared" si="3"/>
        <v>0</v>
      </c>
      <c r="H10" s="14">
        <f t="shared" si="1"/>
        <v>0</v>
      </c>
      <c r="I10" s="9">
        <f t="shared" si="4"/>
        <v>987.5</v>
      </c>
      <c r="J10" s="122"/>
      <c r="K10" s="15">
        <f t="shared" si="2"/>
        <v>0</v>
      </c>
    </row>
    <row r="11" spans="1:13" x14ac:dyDescent="0.2">
      <c r="A11" s="431"/>
      <c r="B11" s="112"/>
      <c r="C11" s="6"/>
      <c r="D11" s="283"/>
      <c r="E11" s="6"/>
      <c r="F11" s="8">
        <f t="shared" si="0"/>
        <v>0</v>
      </c>
      <c r="G11" s="8">
        <f t="shared" si="3"/>
        <v>0</v>
      </c>
      <c r="H11" s="14">
        <f t="shared" si="1"/>
        <v>0</v>
      </c>
      <c r="I11" s="9">
        <f t="shared" si="4"/>
        <v>987.5</v>
      </c>
      <c r="J11" s="122"/>
      <c r="K11" s="10">
        <f t="shared" si="2"/>
        <v>0</v>
      </c>
    </row>
    <row r="12" spans="1:13" x14ac:dyDescent="0.2">
      <c r="A12" s="431"/>
      <c r="B12" s="112"/>
      <c r="C12" s="6"/>
      <c r="D12" s="283"/>
      <c r="E12" s="6"/>
      <c r="F12" s="8">
        <f t="shared" si="0"/>
        <v>0</v>
      </c>
      <c r="G12" s="8">
        <f t="shared" si="3"/>
        <v>0</v>
      </c>
      <c r="H12" s="14">
        <f t="shared" si="1"/>
        <v>0</v>
      </c>
      <c r="I12" s="9">
        <f t="shared" si="4"/>
        <v>987.5</v>
      </c>
      <c r="J12" s="122"/>
      <c r="K12" s="10">
        <f t="shared" si="2"/>
        <v>0</v>
      </c>
    </row>
    <row r="13" spans="1:13" x14ac:dyDescent="0.2">
      <c r="A13" s="431"/>
      <c r="B13" s="112"/>
      <c r="C13" s="6"/>
      <c r="D13" s="283"/>
      <c r="E13" s="6"/>
      <c r="F13" s="8">
        <v>0</v>
      </c>
      <c r="G13" s="8">
        <f t="shared" si="3"/>
        <v>0</v>
      </c>
      <c r="H13" s="14">
        <f t="shared" si="1"/>
        <v>0</v>
      </c>
      <c r="I13" s="9">
        <f t="shared" si="4"/>
        <v>987.5</v>
      </c>
      <c r="J13" s="122"/>
      <c r="K13" s="10">
        <f t="shared" si="2"/>
        <v>0</v>
      </c>
    </row>
    <row r="14" spans="1:13" x14ac:dyDescent="0.2">
      <c r="A14" s="431"/>
      <c r="B14" s="112"/>
      <c r="C14" s="6"/>
      <c r="D14" s="283"/>
      <c r="E14" s="6"/>
      <c r="F14" s="8">
        <f t="shared" si="0"/>
        <v>0</v>
      </c>
      <c r="G14" s="8">
        <f t="shared" si="3"/>
        <v>0</v>
      </c>
      <c r="H14" s="14">
        <f t="shared" si="1"/>
        <v>0</v>
      </c>
      <c r="I14" s="9">
        <f t="shared" si="4"/>
        <v>987.5</v>
      </c>
      <c r="J14" s="122"/>
      <c r="K14" s="10">
        <f t="shared" si="2"/>
        <v>0</v>
      </c>
    </row>
    <row r="15" spans="1:13" x14ac:dyDescent="0.2">
      <c r="A15" s="431"/>
      <c r="B15" s="112"/>
      <c r="C15" s="6"/>
      <c r="D15" s="283"/>
      <c r="E15" s="6"/>
      <c r="F15" s="8">
        <f t="shared" ref="F15:F20" si="5">C15+D15+E15</f>
        <v>0</v>
      </c>
      <c r="G15" s="8">
        <f t="shared" si="3"/>
        <v>0</v>
      </c>
      <c r="H15" s="14">
        <f t="shared" ref="H15:H20" si="6">C15*2.5+D15*4+E15*6</f>
        <v>0</v>
      </c>
      <c r="I15" s="9">
        <f t="shared" ref="I15:I20" si="7">I14-H15</f>
        <v>987.5</v>
      </c>
      <c r="J15" s="122"/>
      <c r="K15" s="10">
        <f t="shared" ref="K15:K20" si="8">J15-A15</f>
        <v>0</v>
      </c>
    </row>
    <row r="16" spans="1:13" x14ac:dyDescent="0.2">
      <c r="A16" s="431"/>
      <c r="B16" s="112"/>
      <c r="C16" s="6"/>
      <c r="D16" s="283"/>
      <c r="E16" s="6"/>
      <c r="F16" s="8">
        <f t="shared" si="5"/>
        <v>0</v>
      </c>
      <c r="G16" s="8">
        <f t="shared" si="3"/>
        <v>0</v>
      </c>
      <c r="H16" s="14">
        <f t="shared" si="6"/>
        <v>0</v>
      </c>
      <c r="I16" s="9">
        <f t="shared" si="7"/>
        <v>987.5</v>
      </c>
      <c r="J16" s="122"/>
      <c r="K16" s="10">
        <f t="shared" si="8"/>
        <v>0</v>
      </c>
    </row>
    <row r="17" spans="1:11" x14ac:dyDescent="0.2">
      <c r="A17" s="431"/>
      <c r="B17" s="112"/>
      <c r="C17" s="6"/>
      <c r="D17" s="283"/>
      <c r="E17" s="6"/>
      <c r="F17" s="8">
        <f t="shared" si="5"/>
        <v>0</v>
      </c>
      <c r="G17" s="8">
        <f t="shared" si="3"/>
        <v>0</v>
      </c>
      <c r="H17" s="14">
        <f t="shared" si="6"/>
        <v>0</v>
      </c>
      <c r="I17" s="9">
        <f t="shared" si="7"/>
        <v>987.5</v>
      </c>
      <c r="J17" s="122"/>
      <c r="K17" s="10">
        <f t="shared" si="8"/>
        <v>0</v>
      </c>
    </row>
    <row r="18" spans="1:11" x14ac:dyDescent="0.2">
      <c r="A18" s="431"/>
      <c r="B18" s="112"/>
      <c r="C18" s="6"/>
      <c r="D18" s="283"/>
      <c r="E18" s="6"/>
      <c r="F18" s="8">
        <f t="shared" si="5"/>
        <v>0</v>
      </c>
      <c r="G18" s="8">
        <f t="shared" si="3"/>
        <v>0</v>
      </c>
      <c r="H18" s="14">
        <f t="shared" si="6"/>
        <v>0</v>
      </c>
      <c r="I18" s="9">
        <f t="shared" si="7"/>
        <v>987.5</v>
      </c>
      <c r="J18" s="122"/>
      <c r="K18" s="10">
        <f t="shared" si="8"/>
        <v>0</v>
      </c>
    </row>
    <row r="19" spans="1:11" x14ac:dyDescent="0.2">
      <c r="A19" s="431"/>
      <c r="B19" s="112"/>
      <c r="C19" s="6"/>
      <c r="D19" s="283"/>
      <c r="E19" s="6"/>
      <c r="F19" s="8">
        <f t="shared" si="5"/>
        <v>0</v>
      </c>
      <c r="G19" s="8">
        <f t="shared" si="3"/>
        <v>0</v>
      </c>
      <c r="H19" s="14">
        <f t="shared" si="6"/>
        <v>0</v>
      </c>
      <c r="I19" s="9">
        <f t="shared" si="7"/>
        <v>987.5</v>
      </c>
      <c r="J19" s="122"/>
      <c r="K19" s="10">
        <f t="shared" si="8"/>
        <v>0</v>
      </c>
    </row>
    <row r="20" spans="1:11" x14ac:dyDescent="0.2">
      <c r="A20" s="431"/>
      <c r="B20" s="112"/>
      <c r="C20" s="6"/>
      <c r="D20" s="283"/>
      <c r="E20" s="6"/>
      <c r="F20" s="8">
        <f t="shared" si="5"/>
        <v>0</v>
      </c>
      <c r="G20" s="8">
        <f t="shared" si="3"/>
        <v>0</v>
      </c>
      <c r="H20" s="14">
        <f t="shared" si="6"/>
        <v>0</v>
      </c>
      <c r="I20" s="9">
        <f t="shared" si="7"/>
        <v>987.5</v>
      </c>
      <c r="J20" s="122"/>
      <c r="K20" s="10">
        <f t="shared" si="8"/>
        <v>0</v>
      </c>
    </row>
    <row r="21" spans="1:11" x14ac:dyDescent="0.2">
      <c r="A21" s="731" t="s">
        <v>18</v>
      </c>
      <c r="B21" s="732"/>
      <c r="C21" s="272">
        <f t="shared" ref="C21:H21" si="9">SUM(C8:C20)</f>
        <v>5</v>
      </c>
      <c r="D21" s="272">
        <f t="shared" si="9"/>
        <v>0</v>
      </c>
      <c r="E21" s="273">
        <f t="shared" si="9"/>
        <v>0</v>
      </c>
      <c r="F21" s="215">
        <f t="shared" si="9"/>
        <v>5</v>
      </c>
      <c r="G21" s="79">
        <f t="shared" si="9"/>
        <v>18453750</v>
      </c>
      <c r="H21" s="564">
        <f t="shared" si="9"/>
        <v>12.5</v>
      </c>
      <c r="I21" s="9">
        <f>I4-H21</f>
        <v>987.5</v>
      </c>
      <c r="J21" s="121"/>
      <c r="K21" s="4"/>
    </row>
    <row r="22" spans="1:11" x14ac:dyDescent="0.2">
      <c r="A22" s="4"/>
      <c r="B22" s="121"/>
      <c r="C22" s="7"/>
      <c r="D22" s="7"/>
      <c r="E22" s="284"/>
      <c r="F22" s="14"/>
      <c r="G22" s="57" t="s">
        <v>46</v>
      </c>
      <c r="H22" s="64">
        <f>H21/I4%</f>
        <v>1.25</v>
      </c>
      <c r="I22" s="568">
        <f>I21/I4%</f>
        <v>98.75</v>
      </c>
      <c r="J22" s="121"/>
      <c r="K22" s="4"/>
    </row>
    <row r="23" spans="1:11" x14ac:dyDescent="0.2">
      <c r="A23" s="16"/>
      <c r="B23" s="125"/>
      <c r="C23" s="17"/>
      <c r="D23" s="17"/>
      <c r="E23" s="18"/>
      <c r="F23" s="23"/>
      <c r="G23" s="106"/>
      <c r="H23" s="107"/>
      <c r="I23" s="108"/>
      <c r="J23" s="125"/>
      <c r="K23" s="16"/>
    </row>
    <row r="24" spans="1:11" x14ac:dyDescent="0.2">
      <c r="A24" s="16"/>
      <c r="B24" s="125"/>
      <c r="C24" s="17"/>
      <c r="D24" s="17"/>
      <c r="E24" s="18"/>
      <c r="F24" s="23"/>
      <c r="G24" s="100"/>
      <c r="H24" s="101"/>
      <c r="I24" s="111"/>
      <c r="J24" s="125"/>
      <c r="K24" s="16"/>
    </row>
    <row r="26" spans="1:11" x14ac:dyDescent="0.2">
      <c r="A26" s="789" t="s">
        <v>227</v>
      </c>
      <c r="B26" s="789"/>
      <c r="C26" s="789"/>
      <c r="D26" s="789"/>
      <c r="E26" s="789"/>
      <c r="F26" s="59">
        <f>I4</f>
        <v>1000</v>
      </c>
    </row>
    <row r="27" spans="1:11" x14ac:dyDescent="0.2">
      <c r="F27" s="32"/>
    </row>
    <row r="28" spans="1:11" x14ac:dyDescent="0.2">
      <c r="A28" s="784" t="s">
        <v>114</v>
      </c>
      <c r="B28" s="784"/>
      <c r="C28" s="784"/>
      <c r="D28" s="784"/>
      <c r="E28" s="784"/>
      <c r="F28" s="77">
        <f>F21</f>
        <v>5</v>
      </c>
    </row>
    <row r="29" spans="1:11" x14ac:dyDescent="0.2">
      <c r="F29" s="32"/>
    </row>
    <row r="30" spans="1:11" x14ac:dyDescent="0.2">
      <c r="A30" s="830" t="s">
        <v>113</v>
      </c>
      <c r="B30" s="830"/>
      <c r="C30" s="830"/>
      <c r="D30" s="830"/>
      <c r="E30" s="830"/>
      <c r="F30" s="60">
        <f>F26-F28</f>
        <v>995</v>
      </c>
    </row>
    <row r="31" spans="1:11" x14ac:dyDescent="0.2">
      <c r="F31" s="32"/>
    </row>
    <row r="32" spans="1:11" x14ac:dyDescent="0.2">
      <c r="A32" s="748" t="s">
        <v>50</v>
      </c>
      <c r="B32" s="748"/>
      <c r="C32" s="748"/>
      <c r="D32" s="748"/>
      <c r="E32" s="748"/>
      <c r="F32" s="61">
        <f>F28/F26%</f>
        <v>0.5</v>
      </c>
    </row>
    <row r="33" spans="1:7" x14ac:dyDescent="0.2">
      <c r="A33" s="73"/>
      <c r="B33" s="127"/>
      <c r="C33" s="73"/>
      <c r="D33" s="73"/>
      <c r="E33" s="73"/>
      <c r="F33" s="66"/>
    </row>
    <row r="34" spans="1:7" x14ac:dyDescent="0.2">
      <c r="A34" s="68" t="s">
        <v>51</v>
      </c>
      <c r="B34" s="128"/>
      <c r="C34" s="68"/>
      <c r="D34" s="68"/>
      <c r="E34" s="68"/>
      <c r="F34" s="61">
        <f>F30/F26%</f>
        <v>99.5</v>
      </c>
    </row>
    <row r="35" spans="1:7" x14ac:dyDescent="0.2">
      <c r="F35" s="32"/>
    </row>
    <row r="36" spans="1:7" x14ac:dyDescent="0.2">
      <c r="A36" s="75" t="s">
        <v>53</v>
      </c>
      <c r="B36" s="133"/>
      <c r="C36" s="75"/>
      <c r="D36" s="75"/>
      <c r="E36" s="75"/>
      <c r="F36" s="360">
        <f>H21</f>
        <v>12.5</v>
      </c>
      <c r="G36" s="357"/>
    </row>
    <row r="38" spans="1:7" x14ac:dyDescent="0.2">
      <c r="A38" s="791" t="s">
        <v>118</v>
      </c>
      <c r="B38" s="791"/>
      <c r="C38" s="791"/>
      <c r="D38" s="791"/>
      <c r="E38" s="791"/>
      <c r="F38" s="792">
        <f>G21</f>
        <v>18453750</v>
      </c>
      <c r="G38" s="792"/>
    </row>
  </sheetData>
  <mergeCells count="17">
    <mergeCell ref="A1:K1"/>
    <mergeCell ref="A2:K2"/>
    <mergeCell ref="A21:B21"/>
    <mergeCell ref="B3:H3"/>
    <mergeCell ref="J3:K4"/>
    <mergeCell ref="B4:H4"/>
    <mergeCell ref="A5:A6"/>
    <mergeCell ref="B5:B6"/>
    <mergeCell ref="C5:E5"/>
    <mergeCell ref="F5:H5"/>
    <mergeCell ref="J5:J6"/>
    <mergeCell ref="F38:G38"/>
    <mergeCell ref="A26:E26"/>
    <mergeCell ref="A28:E28"/>
    <mergeCell ref="A30:E30"/>
    <mergeCell ref="A32:E32"/>
    <mergeCell ref="A38:E38"/>
  </mergeCells>
  <pageMargins left="0.7" right="0.7" top="0.75" bottom="0.75" header="0.3" footer="0.3"/>
  <pageSetup orientation="portrait" horizontalDpi="240" verticalDpi="144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350A5-89A1-494C-BA91-AFD812F546A4}">
  <dimension ref="A1:M121"/>
  <sheetViews>
    <sheetView topLeftCell="A82" workbookViewId="0">
      <selection activeCell="L91" sqref="L91"/>
    </sheetView>
  </sheetViews>
  <sheetFormatPr defaultRowHeight="12.75" x14ac:dyDescent="0.2"/>
  <cols>
    <col min="1" max="1" width="8.7109375" customWidth="1"/>
    <col min="2" max="2" width="7.85546875" style="123" customWidth="1"/>
    <col min="3" max="4" width="9.28515625" customWidth="1"/>
    <col min="5" max="5" width="8.7109375" customWidth="1"/>
    <col min="6" max="6" width="8.85546875" customWidth="1"/>
    <col min="7" max="7" width="12.5703125" customWidth="1"/>
    <col min="8" max="8" width="8.5703125" customWidth="1"/>
    <col min="9" max="9" width="9.5703125" customWidth="1"/>
    <col min="10" max="10" width="9.28515625" style="123" customWidth="1"/>
    <col min="11" max="11" width="8" customWidth="1"/>
    <col min="12" max="12" width="14.7109375" style="71" customWidth="1"/>
  </cols>
  <sheetData>
    <row r="1" spans="1:13" ht="18" x14ac:dyDescent="0.25">
      <c r="A1" s="788" t="s">
        <v>232</v>
      </c>
      <c r="B1" s="788"/>
      <c r="C1" s="788"/>
      <c r="D1" s="788"/>
      <c r="E1" s="788"/>
      <c r="F1" s="788"/>
      <c r="G1" s="788"/>
      <c r="H1" s="788"/>
      <c r="I1" s="788"/>
      <c r="J1" s="788"/>
      <c r="K1" s="788"/>
      <c r="L1" s="282"/>
      <c r="M1" s="71"/>
    </row>
    <row r="2" spans="1:13" ht="26.25" x14ac:dyDescent="0.2">
      <c r="A2" s="794" t="str">
        <f>GDSL!A2</f>
        <v>TAHUN 2026</v>
      </c>
      <c r="B2" s="794"/>
      <c r="C2" s="794"/>
      <c r="D2" s="794"/>
      <c r="E2" s="794"/>
      <c r="F2" s="794"/>
      <c r="G2" s="794"/>
      <c r="H2" s="794"/>
      <c r="I2" s="794"/>
      <c r="J2" s="794"/>
      <c r="K2" s="794"/>
      <c r="L2" s="282"/>
      <c r="M2" s="71"/>
    </row>
    <row r="3" spans="1:13" ht="15.75" x14ac:dyDescent="0.25">
      <c r="A3" s="93" t="s">
        <v>0</v>
      </c>
      <c r="B3" s="860" t="s">
        <v>288</v>
      </c>
      <c r="C3" s="860"/>
      <c r="D3" s="860"/>
      <c r="E3" s="860"/>
      <c r="F3" s="860"/>
      <c r="G3" s="860"/>
      <c r="H3" s="860"/>
      <c r="I3" s="70" t="s">
        <v>11</v>
      </c>
      <c r="J3" s="739" t="s">
        <v>15</v>
      </c>
      <c r="K3" s="739"/>
      <c r="L3" s="705">
        <v>46062</v>
      </c>
    </row>
    <row r="4" spans="1:13" ht="14.25" x14ac:dyDescent="0.2">
      <c r="A4" s="93" t="s">
        <v>1</v>
      </c>
      <c r="B4" s="861" t="s">
        <v>218</v>
      </c>
      <c r="C4" s="861"/>
      <c r="D4" s="861"/>
      <c r="E4" s="861"/>
      <c r="F4" s="861"/>
      <c r="G4" s="861"/>
      <c r="H4" s="861"/>
      <c r="I4" s="69">
        <v>100</v>
      </c>
      <c r="J4" s="739"/>
      <c r="K4" s="739"/>
    </row>
    <row r="5" spans="1:13" x14ac:dyDescent="0.2">
      <c r="A5" s="726" t="s">
        <v>3</v>
      </c>
      <c r="B5" s="834" t="s">
        <v>2</v>
      </c>
      <c r="C5" s="731" t="s">
        <v>19</v>
      </c>
      <c r="D5" s="837"/>
      <c r="E5" s="837"/>
      <c r="F5" s="731" t="s">
        <v>24</v>
      </c>
      <c r="G5" s="837"/>
      <c r="H5" s="732"/>
      <c r="I5" s="84" t="s">
        <v>12</v>
      </c>
      <c r="J5" s="726" t="s">
        <v>3</v>
      </c>
      <c r="K5" s="94" t="s">
        <v>13</v>
      </c>
    </row>
    <row r="6" spans="1:13" x14ac:dyDescent="0.2">
      <c r="A6" s="726"/>
      <c r="B6" s="834"/>
      <c r="C6" s="22" t="s">
        <v>289</v>
      </c>
      <c r="D6" s="22" t="s">
        <v>290</v>
      </c>
      <c r="E6" s="22" t="s">
        <v>291</v>
      </c>
      <c r="F6" s="563" t="s">
        <v>23</v>
      </c>
      <c r="G6" s="82" t="s">
        <v>8</v>
      </c>
      <c r="H6" s="563" t="s">
        <v>298</v>
      </c>
      <c r="I6" s="457" t="s">
        <v>9</v>
      </c>
      <c r="J6" s="726"/>
      <c r="K6" s="94" t="s">
        <v>14</v>
      </c>
    </row>
    <row r="7" spans="1:13" x14ac:dyDescent="0.2">
      <c r="A7" s="676" t="s">
        <v>182</v>
      </c>
      <c r="B7" s="677"/>
      <c r="C7" s="686"/>
      <c r="D7" s="686">
        <v>2200000</v>
      </c>
      <c r="E7" s="686"/>
      <c r="F7" s="687"/>
      <c r="G7" s="256"/>
      <c r="H7" s="43"/>
      <c r="I7" s="12"/>
      <c r="J7" s="122"/>
      <c r="K7" s="4"/>
    </row>
    <row r="8" spans="1:13" x14ac:dyDescent="0.2">
      <c r="A8" s="431"/>
      <c r="B8" s="112"/>
      <c r="C8" s="6"/>
      <c r="D8" s="722"/>
      <c r="E8" s="6"/>
      <c r="F8" s="8">
        <f>C8+D8+E8</f>
        <v>0</v>
      </c>
      <c r="G8" s="8">
        <f>(C8*C$7+D8*D$7+E8*E$7)</f>
        <v>0</v>
      </c>
      <c r="H8" s="14">
        <f>C8*5+D8*10+E8*6</f>
        <v>0</v>
      </c>
      <c r="I8" s="9">
        <f>I4-H8</f>
        <v>100</v>
      </c>
      <c r="J8" s="122"/>
      <c r="K8" s="10">
        <f>J8-A8</f>
        <v>0</v>
      </c>
    </row>
    <row r="9" spans="1:13" x14ac:dyDescent="0.2">
      <c r="A9" s="431"/>
      <c r="B9" s="112"/>
      <c r="C9" s="6"/>
      <c r="D9" s="283"/>
      <c r="E9" s="6"/>
      <c r="F9" s="8">
        <f>C9+D9+E9</f>
        <v>0</v>
      </c>
      <c r="G9" s="8">
        <f>(C9*C$7+D9*D$7+E9*E$7)</f>
        <v>0</v>
      </c>
      <c r="H9" s="14">
        <f>C9*5+D9*10+E9*6</f>
        <v>0</v>
      </c>
      <c r="I9" s="9">
        <f>I8-H9</f>
        <v>100</v>
      </c>
      <c r="J9" s="124"/>
      <c r="K9" s="10">
        <f>J9-A9</f>
        <v>0</v>
      </c>
    </row>
    <row r="10" spans="1:13" x14ac:dyDescent="0.2">
      <c r="A10" s="431"/>
      <c r="B10" s="112"/>
      <c r="C10" s="6"/>
      <c r="D10" s="283"/>
      <c r="E10" s="6"/>
      <c r="F10" s="8">
        <f>C10+D10+E10</f>
        <v>0</v>
      </c>
      <c r="G10" s="8">
        <f>(C10*C$7+D10*D$7+E10*E$7)</f>
        <v>0</v>
      </c>
      <c r="H10" s="14">
        <f>C10*5+D10*10+E10*6</f>
        <v>0</v>
      </c>
      <c r="I10" s="9">
        <f>I9-H10</f>
        <v>100</v>
      </c>
      <c r="J10" s="122"/>
      <c r="K10" s="15">
        <f>J10-A10</f>
        <v>0</v>
      </c>
    </row>
    <row r="11" spans="1:13" x14ac:dyDescent="0.2">
      <c r="A11" s="431"/>
      <c r="B11" s="112"/>
      <c r="C11" s="6"/>
      <c r="D11" s="283"/>
      <c r="E11" s="6"/>
      <c r="F11" s="8">
        <f>C11+D11+E11</f>
        <v>0</v>
      </c>
      <c r="G11" s="8">
        <f>(C11*C$7+D11*D$7+E11*E$7)</f>
        <v>0</v>
      </c>
      <c r="H11" s="14">
        <f>C11*5+D11*10+E11*6</f>
        <v>0</v>
      </c>
      <c r="I11" s="9">
        <f>I10-H11</f>
        <v>100</v>
      </c>
      <c r="J11" s="122"/>
      <c r="K11" s="10">
        <f>J11-A11</f>
        <v>0</v>
      </c>
    </row>
    <row r="12" spans="1:13" x14ac:dyDescent="0.2">
      <c r="A12" s="431"/>
      <c r="B12" s="112"/>
      <c r="C12" s="6"/>
      <c r="D12" s="283"/>
      <c r="E12" s="6"/>
      <c r="F12" s="8">
        <f>C12+D12+E12</f>
        <v>0</v>
      </c>
      <c r="G12" s="8">
        <f>(C12*C$7+D12*D$7+E12*E$7)</f>
        <v>0</v>
      </c>
      <c r="H12" s="14">
        <f>C12*5+D12*10+E12*6</f>
        <v>0</v>
      </c>
      <c r="I12" s="9">
        <f>I11-H12</f>
        <v>100</v>
      </c>
      <c r="J12" s="122"/>
      <c r="K12" s="10">
        <f>J12-A12</f>
        <v>0</v>
      </c>
    </row>
    <row r="13" spans="1:13" x14ac:dyDescent="0.2">
      <c r="A13" s="731" t="s">
        <v>18</v>
      </c>
      <c r="B13" s="732"/>
      <c r="C13" s="272">
        <f t="shared" ref="C13:H13" si="0">SUM(C8:C12)</f>
        <v>0</v>
      </c>
      <c r="D13" s="272">
        <f t="shared" si="0"/>
        <v>0</v>
      </c>
      <c r="E13" s="273">
        <f t="shared" si="0"/>
        <v>0</v>
      </c>
      <c r="F13" s="215">
        <f t="shared" si="0"/>
        <v>0</v>
      </c>
      <c r="G13" s="79">
        <f t="shared" si="0"/>
        <v>0</v>
      </c>
      <c r="H13" s="564">
        <f t="shared" si="0"/>
        <v>0</v>
      </c>
      <c r="I13" s="9">
        <f>I4-H13</f>
        <v>100</v>
      </c>
      <c r="J13" s="121"/>
      <c r="K13" s="4"/>
    </row>
    <row r="14" spans="1:13" x14ac:dyDescent="0.2">
      <c r="A14" s="4"/>
      <c r="B14" s="121"/>
      <c r="C14" s="7"/>
      <c r="D14" s="7"/>
      <c r="E14" s="284"/>
      <c r="F14" s="14"/>
      <c r="G14" s="57" t="s">
        <v>46</v>
      </c>
      <c r="H14" s="64">
        <f>H13/I4%</f>
        <v>0</v>
      </c>
      <c r="I14" s="568">
        <f>I13/I4%</f>
        <v>100</v>
      </c>
      <c r="J14" s="121"/>
      <c r="K14" s="4"/>
    </row>
    <row r="15" spans="1:13" x14ac:dyDescent="0.2">
      <c r="A15" s="16"/>
      <c r="B15" s="125"/>
      <c r="C15" s="17"/>
      <c r="D15" s="17"/>
      <c r="E15" s="18"/>
      <c r="F15" s="23"/>
      <c r="G15" s="106"/>
      <c r="H15" s="107"/>
      <c r="I15" s="108"/>
      <c r="J15" s="125"/>
      <c r="K15" s="16"/>
    </row>
    <row r="16" spans="1:13" ht="15.75" x14ac:dyDescent="0.25">
      <c r="A16" s="93" t="s">
        <v>0</v>
      </c>
      <c r="B16" s="860" t="s">
        <v>288</v>
      </c>
      <c r="C16" s="860"/>
      <c r="D16" s="860"/>
      <c r="E16" s="860"/>
      <c r="F16" s="860"/>
      <c r="G16" s="860"/>
      <c r="H16" s="860"/>
      <c r="I16" s="70" t="s">
        <v>11</v>
      </c>
      <c r="J16" s="739" t="s">
        <v>15</v>
      </c>
      <c r="K16" s="739"/>
      <c r="L16" s="705">
        <v>46083</v>
      </c>
    </row>
    <row r="17" spans="1:12" ht="14.25" x14ac:dyDescent="0.2">
      <c r="A17" s="93" t="s">
        <v>1</v>
      </c>
      <c r="B17" s="861" t="s">
        <v>292</v>
      </c>
      <c r="C17" s="861"/>
      <c r="D17" s="861"/>
      <c r="E17" s="861"/>
      <c r="F17" s="861"/>
      <c r="G17" s="861"/>
      <c r="H17" s="861"/>
      <c r="I17" s="69">
        <v>100</v>
      </c>
      <c r="J17" s="739"/>
      <c r="K17" s="739"/>
    </row>
    <row r="18" spans="1:12" x14ac:dyDescent="0.2">
      <c r="A18" s="726" t="s">
        <v>3</v>
      </c>
      <c r="B18" s="834" t="s">
        <v>2</v>
      </c>
      <c r="C18" s="731" t="s">
        <v>19</v>
      </c>
      <c r="D18" s="837"/>
      <c r="E18" s="837"/>
      <c r="F18" s="731" t="s">
        <v>24</v>
      </c>
      <c r="G18" s="837"/>
      <c r="H18" s="732"/>
      <c r="I18" s="84" t="s">
        <v>12</v>
      </c>
      <c r="J18" s="726" t="s">
        <v>3</v>
      </c>
      <c r="K18" s="94" t="s">
        <v>13</v>
      </c>
    </row>
    <row r="19" spans="1:12" x14ac:dyDescent="0.2">
      <c r="A19" s="726"/>
      <c r="B19" s="834"/>
      <c r="C19" s="22" t="s">
        <v>289</v>
      </c>
      <c r="D19" s="22" t="s">
        <v>290</v>
      </c>
      <c r="E19" s="22" t="s">
        <v>291</v>
      </c>
      <c r="F19" s="563" t="s">
        <v>23</v>
      </c>
      <c r="G19" s="82" t="s">
        <v>8</v>
      </c>
      <c r="H19" s="563" t="s">
        <v>9</v>
      </c>
      <c r="I19" s="457" t="s">
        <v>9</v>
      </c>
      <c r="J19" s="726"/>
      <c r="K19" s="94" t="s">
        <v>14</v>
      </c>
    </row>
    <row r="20" spans="1:12" x14ac:dyDescent="0.2">
      <c r="A20" s="676" t="s">
        <v>182</v>
      </c>
      <c r="B20" s="677"/>
      <c r="C20" s="686"/>
      <c r="D20" s="686">
        <v>2200000</v>
      </c>
      <c r="E20" s="686"/>
      <c r="F20" s="687"/>
      <c r="G20" s="256"/>
      <c r="H20" s="43"/>
      <c r="I20" s="12"/>
      <c r="J20" s="122"/>
      <c r="K20" s="4"/>
    </row>
    <row r="21" spans="1:12" x14ac:dyDescent="0.2">
      <c r="A21" s="431"/>
      <c r="B21" s="112"/>
      <c r="C21" s="6"/>
      <c r="D21" s="722"/>
      <c r="E21" s="6"/>
      <c r="F21" s="8">
        <f>C21+D21+E21</f>
        <v>0</v>
      </c>
      <c r="G21" s="8">
        <f>(C21*C$20+D21*D$20+E21*E$20)</f>
        <v>0</v>
      </c>
      <c r="H21" s="14">
        <f>C21*5+D21*10+E21*6</f>
        <v>0</v>
      </c>
      <c r="I21" s="9">
        <f>I17-H21</f>
        <v>100</v>
      </c>
      <c r="J21" s="122"/>
      <c r="K21" s="10">
        <f t="shared" ref="K21:K27" si="1">J21-A21</f>
        <v>0</v>
      </c>
    </row>
    <row r="22" spans="1:12" x14ac:dyDescent="0.2">
      <c r="A22" s="431"/>
      <c r="B22" s="112"/>
      <c r="C22" s="6"/>
      <c r="D22" s="283"/>
      <c r="E22" s="6"/>
      <c r="F22" s="8">
        <f>C22+D22+E22</f>
        <v>0</v>
      </c>
      <c r="G22" s="8">
        <f t="shared" ref="G22:G27" si="2">(C22*C$20+D22*D$20+E22*E$20)</f>
        <v>0</v>
      </c>
      <c r="H22" s="14">
        <f t="shared" ref="H22:H27" si="3">C22*5+D22*10+E22*6</f>
        <v>0</v>
      </c>
      <c r="I22" s="9">
        <f t="shared" ref="I22:I27" si="4">I21-H22</f>
        <v>100</v>
      </c>
      <c r="J22" s="124"/>
      <c r="K22" s="10">
        <f t="shared" si="1"/>
        <v>0</v>
      </c>
    </row>
    <row r="23" spans="1:12" x14ac:dyDescent="0.2">
      <c r="A23" s="431"/>
      <c r="B23" s="112"/>
      <c r="C23" s="6"/>
      <c r="D23" s="283"/>
      <c r="E23" s="6"/>
      <c r="F23" s="8">
        <f>C23+D23+E23</f>
        <v>0</v>
      </c>
      <c r="G23" s="8">
        <f t="shared" si="2"/>
        <v>0</v>
      </c>
      <c r="H23" s="14">
        <f t="shared" si="3"/>
        <v>0</v>
      </c>
      <c r="I23" s="9">
        <f t="shared" si="4"/>
        <v>100</v>
      </c>
      <c r="J23" s="122"/>
      <c r="K23" s="15">
        <f t="shared" si="1"/>
        <v>0</v>
      </c>
    </row>
    <row r="24" spans="1:12" x14ac:dyDescent="0.2">
      <c r="A24" s="431"/>
      <c r="B24" s="112"/>
      <c r="C24" s="6"/>
      <c r="D24" s="283"/>
      <c r="E24" s="6"/>
      <c r="F24" s="8">
        <f>C24+D24+E24</f>
        <v>0</v>
      </c>
      <c r="G24" s="8">
        <f t="shared" si="2"/>
        <v>0</v>
      </c>
      <c r="H24" s="14">
        <f t="shared" si="3"/>
        <v>0</v>
      </c>
      <c r="I24" s="9">
        <f t="shared" si="4"/>
        <v>100</v>
      </c>
      <c r="J24" s="122"/>
      <c r="K24" s="10">
        <f t="shared" si="1"/>
        <v>0</v>
      </c>
    </row>
    <row r="25" spans="1:12" x14ac:dyDescent="0.2">
      <c r="A25" s="431"/>
      <c r="B25" s="112"/>
      <c r="C25" s="6"/>
      <c r="D25" s="283"/>
      <c r="E25" s="6"/>
      <c r="F25" s="8">
        <f>C25+D25+E25</f>
        <v>0</v>
      </c>
      <c r="G25" s="8">
        <f t="shared" si="2"/>
        <v>0</v>
      </c>
      <c r="H25" s="14">
        <f t="shared" si="3"/>
        <v>0</v>
      </c>
      <c r="I25" s="9">
        <f t="shared" si="4"/>
        <v>100</v>
      </c>
      <c r="J25" s="122"/>
      <c r="K25" s="10">
        <f t="shared" si="1"/>
        <v>0</v>
      </c>
    </row>
    <row r="26" spans="1:12" x14ac:dyDescent="0.2">
      <c r="A26" s="431"/>
      <c r="B26" s="112"/>
      <c r="C26" s="6"/>
      <c r="D26" s="283"/>
      <c r="E26" s="6"/>
      <c r="F26" s="8">
        <v>0</v>
      </c>
      <c r="G26" s="8">
        <f t="shared" si="2"/>
        <v>0</v>
      </c>
      <c r="H26" s="14">
        <f t="shared" si="3"/>
        <v>0</v>
      </c>
      <c r="I26" s="9">
        <f t="shared" si="4"/>
        <v>100</v>
      </c>
      <c r="J26" s="122"/>
      <c r="K26" s="10">
        <f t="shared" si="1"/>
        <v>0</v>
      </c>
    </row>
    <row r="27" spans="1:12" x14ac:dyDescent="0.2">
      <c r="A27" s="431"/>
      <c r="B27" s="112"/>
      <c r="C27" s="6"/>
      <c r="D27" s="283"/>
      <c r="E27" s="6"/>
      <c r="F27" s="8">
        <f>C27+D27+E27</f>
        <v>0</v>
      </c>
      <c r="G27" s="8">
        <f t="shared" si="2"/>
        <v>0</v>
      </c>
      <c r="H27" s="14">
        <f t="shared" si="3"/>
        <v>0</v>
      </c>
      <c r="I27" s="9">
        <f t="shared" si="4"/>
        <v>100</v>
      </c>
      <c r="J27" s="122"/>
      <c r="K27" s="10">
        <f t="shared" si="1"/>
        <v>0</v>
      </c>
    </row>
    <row r="28" spans="1:12" x14ac:dyDescent="0.2">
      <c r="A28" s="731" t="s">
        <v>18</v>
      </c>
      <c r="B28" s="732"/>
      <c r="C28" s="272">
        <f t="shared" ref="C28:H28" si="5">SUM(C21:C27)</f>
        <v>0</v>
      </c>
      <c r="D28" s="272">
        <f t="shared" si="5"/>
        <v>0</v>
      </c>
      <c r="E28" s="273">
        <f t="shared" si="5"/>
        <v>0</v>
      </c>
      <c r="F28" s="215">
        <f t="shared" si="5"/>
        <v>0</v>
      </c>
      <c r="G28" s="79">
        <f t="shared" si="5"/>
        <v>0</v>
      </c>
      <c r="H28" s="564">
        <f t="shared" si="5"/>
        <v>0</v>
      </c>
      <c r="I28" s="9">
        <f>I17-H28</f>
        <v>100</v>
      </c>
      <c r="J28" s="121"/>
      <c r="K28" s="4"/>
    </row>
    <row r="29" spans="1:12" x14ac:dyDescent="0.2">
      <c r="A29" s="4"/>
      <c r="B29" s="121"/>
      <c r="C29" s="7"/>
      <c r="D29" s="7"/>
      <c r="E29" s="284"/>
      <c r="F29" s="14"/>
      <c r="G29" s="57" t="s">
        <v>46</v>
      </c>
      <c r="H29" s="64">
        <f>H28/I17%</f>
        <v>0</v>
      </c>
      <c r="I29" s="568">
        <f>I28/I17%</f>
        <v>100</v>
      </c>
      <c r="J29" s="121"/>
      <c r="K29" s="4"/>
    </row>
    <row r="30" spans="1:12" x14ac:dyDescent="0.2">
      <c r="A30" s="16"/>
      <c r="B30" s="125"/>
      <c r="C30" s="17"/>
      <c r="D30" s="17"/>
      <c r="E30" s="18"/>
      <c r="F30" s="23"/>
      <c r="G30" s="106"/>
      <c r="H30" s="107"/>
      <c r="I30" s="108"/>
      <c r="J30" s="125"/>
      <c r="K30" s="16"/>
    </row>
    <row r="31" spans="1:12" ht="15.75" x14ac:dyDescent="0.25">
      <c r="A31" s="93" t="s">
        <v>0</v>
      </c>
      <c r="B31" s="860" t="s">
        <v>288</v>
      </c>
      <c r="C31" s="860"/>
      <c r="D31" s="860"/>
      <c r="E31" s="860"/>
      <c r="F31" s="860"/>
      <c r="G31" s="860"/>
      <c r="H31" s="860"/>
      <c r="I31" s="70" t="s">
        <v>11</v>
      </c>
      <c r="J31" s="739" t="s">
        <v>15</v>
      </c>
      <c r="K31" s="739"/>
      <c r="L31" s="705">
        <v>46062</v>
      </c>
    </row>
    <row r="32" spans="1:12" ht="14.25" x14ac:dyDescent="0.2">
      <c r="A32" s="93" t="s">
        <v>1</v>
      </c>
      <c r="B32" s="861" t="s">
        <v>233</v>
      </c>
      <c r="C32" s="861"/>
      <c r="D32" s="861"/>
      <c r="E32" s="861"/>
      <c r="F32" s="861"/>
      <c r="G32" s="861"/>
      <c r="H32" s="861"/>
      <c r="I32" s="69">
        <v>100</v>
      </c>
      <c r="J32" s="739"/>
      <c r="K32" s="739"/>
    </row>
    <row r="33" spans="1:12" x14ac:dyDescent="0.2">
      <c r="A33" s="726" t="s">
        <v>3</v>
      </c>
      <c r="B33" s="834" t="s">
        <v>2</v>
      </c>
      <c r="C33" s="731" t="s">
        <v>19</v>
      </c>
      <c r="D33" s="837"/>
      <c r="E33" s="837"/>
      <c r="F33" s="731" t="s">
        <v>24</v>
      </c>
      <c r="G33" s="837"/>
      <c r="H33" s="732"/>
      <c r="I33" s="84" t="s">
        <v>12</v>
      </c>
      <c r="J33" s="726" t="s">
        <v>3</v>
      </c>
      <c r="K33" s="94" t="s">
        <v>13</v>
      </c>
    </row>
    <row r="34" spans="1:12" x14ac:dyDescent="0.2">
      <c r="A34" s="726"/>
      <c r="B34" s="834"/>
      <c r="C34" s="22" t="s">
        <v>289</v>
      </c>
      <c r="D34" s="22" t="s">
        <v>290</v>
      </c>
      <c r="E34" s="22" t="s">
        <v>291</v>
      </c>
      <c r="F34" s="563" t="s">
        <v>23</v>
      </c>
      <c r="G34" s="82" t="s">
        <v>8</v>
      </c>
      <c r="H34" s="563" t="s">
        <v>9</v>
      </c>
      <c r="I34" s="457" t="s">
        <v>9</v>
      </c>
      <c r="J34" s="726"/>
      <c r="K34" s="94" t="s">
        <v>14</v>
      </c>
    </row>
    <row r="35" spans="1:12" x14ac:dyDescent="0.2">
      <c r="A35" s="676" t="s">
        <v>182</v>
      </c>
      <c r="B35" s="677"/>
      <c r="C35" s="686"/>
      <c r="D35" s="686">
        <v>2200000</v>
      </c>
      <c r="E35" s="686"/>
      <c r="F35" s="687"/>
      <c r="G35" s="256"/>
      <c r="H35" s="638"/>
      <c r="I35" s="12"/>
      <c r="J35" s="122"/>
      <c r="K35" s="4"/>
    </row>
    <row r="36" spans="1:12" x14ac:dyDescent="0.2">
      <c r="A36" s="431"/>
      <c r="B36" s="112"/>
      <c r="C36" s="6"/>
      <c r="D36" s="722"/>
      <c r="E36" s="6"/>
      <c r="F36" s="8">
        <f>C36+D36+E36</f>
        <v>0</v>
      </c>
      <c r="G36" s="8">
        <f>(C36*C$35+D36*D$35+E36*E$35)*H$35</f>
        <v>0</v>
      </c>
      <c r="H36" s="14">
        <f>C36*5+D36*10+E36*6</f>
        <v>0</v>
      </c>
      <c r="I36" s="9">
        <f>I32-H36</f>
        <v>100</v>
      </c>
      <c r="J36" s="122"/>
      <c r="K36" s="10">
        <f t="shared" ref="K36:K42" si="6">J36-A36</f>
        <v>0</v>
      </c>
    </row>
    <row r="37" spans="1:12" x14ac:dyDescent="0.2">
      <c r="A37" s="431"/>
      <c r="B37" s="112"/>
      <c r="C37" s="6"/>
      <c r="D37" s="283"/>
      <c r="E37" s="6"/>
      <c r="F37" s="8">
        <f>C37+D37+E37</f>
        <v>0</v>
      </c>
      <c r="G37" s="8">
        <f t="shared" ref="G37:G42" si="7">(C37*C$35+D37*D$35+E37*E$35)*H$35</f>
        <v>0</v>
      </c>
      <c r="H37" s="14">
        <f t="shared" ref="H37:H42" si="8">C37*2.5+D37*4+E37*6</f>
        <v>0</v>
      </c>
      <c r="I37" s="9">
        <f t="shared" ref="I37:I42" si="9">I36-H37</f>
        <v>100</v>
      </c>
      <c r="J37" s="124"/>
      <c r="K37" s="10">
        <f t="shared" si="6"/>
        <v>0</v>
      </c>
    </row>
    <row r="38" spans="1:12" x14ac:dyDescent="0.2">
      <c r="A38" s="431"/>
      <c r="B38" s="112"/>
      <c r="C38" s="6"/>
      <c r="D38" s="283"/>
      <c r="E38" s="6"/>
      <c r="F38" s="8">
        <f>C38+D38+E38</f>
        <v>0</v>
      </c>
      <c r="G38" s="8">
        <f t="shared" si="7"/>
        <v>0</v>
      </c>
      <c r="H38" s="14">
        <f t="shared" si="8"/>
        <v>0</v>
      </c>
      <c r="I38" s="9">
        <f t="shared" si="9"/>
        <v>100</v>
      </c>
      <c r="J38" s="122"/>
      <c r="K38" s="15">
        <f t="shared" si="6"/>
        <v>0</v>
      </c>
    </row>
    <row r="39" spans="1:12" x14ac:dyDescent="0.2">
      <c r="A39" s="431"/>
      <c r="B39" s="112"/>
      <c r="C39" s="6"/>
      <c r="D39" s="283"/>
      <c r="E39" s="6"/>
      <c r="F39" s="8">
        <f>C39+D39+E39</f>
        <v>0</v>
      </c>
      <c r="G39" s="8">
        <f t="shared" si="7"/>
        <v>0</v>
      </c>
      <c r="H39" s="14">
        <f t="shared" si="8"/>
        <v>0</v>
      </c>
      <c r="I39" s="9">
        <f t="shared" si="9"/>
        <v>100</v>
      </c>
      <c r="J39" s="122"/>
      <c r="K39" s="10">
        <f t="shared" si="6"/>
        <v>0</v>
      </c>
    </row>
    <row r="40" spans="1:12" x14ac:dyDescent="0.2">
      <c r="A40" s="431"/>
      <c r="B40" s="112"/>
      <c r="C40" s="6"/>
      <c r="D40" s="283"/>
      <c r="E40" s="6"/>
      <c r="F40" s="8">
        <f>C40+D40+E40</f>
        <v>0</v>
      </c>
      <c r="G40" s="8">
        <f t="shared" si="7"/>
        <v>0</v>
      </c>
      <c r="H40" s="14">
        <f t="shared" si="8"/>
        <v>0</v>
      </c>
      <c r="I40" s="9">
        <f t="shared" si="9"/>
        <v>100</v>
      </c>
      <c r="J40" s="122"/>
      <c r="K40" s="10">
        <f t="shared" si="6"/>
        <v>0</v>
      </c>
    </row>
    <row r="41" spans="1:12" x14ac:dyDescent="0.2">
      <c r="A41" s="431"/>
      <c r="B41" s="112"/>
      <c r="C41" s="6"/>
      <c r="D41" s="283"/>
      <c r="E41" s="6"/>
      <c r="F41" s="8">
        <v>0</v>
      </c>
      <c r="G41" s="8">
        <f t="shared" si="7"/>
        <v>0</v>
      </c>
      <c r="H41" s="14">
        <f t="shared" si="8"/>
        <v>0</v>
      </c>
      <c r="I41" s="9">
        <f t="shared" si="9"/>
        <v>100</v>
      </c>
      <c r="J41" s="122"/>
      <c r="K41" s="10">
        <f t="shared" si="6"/>
        <v>0</v>
      </c>
    </row>
    <row r="42" spans="1:12" x14ac:dyDescent="0.2">
      <c r="A42" s="431"/>
      <c r="B42" s="112"/>
      <c r="C42" s="6"/>
      <c r="D42" s="283"/>
      <c r="E42" s="6"/>
      <c r="F42" s="8">
        <f>C42+D42+E42</f>
        <v>0</v>
      </c>
      <c r="G42" s="8">
        <f t="shared" si="7"/>
        <v>0</v>
      </c>
      <c r="H42" s="14">
        <f t="shared" si="8"/>
        <v>0</v>
      </c>
      <c r="I42" s="9">
        <f t="shared" si="9"/>
        <v>100</v>
      </c>
      <c r="J42" s="122"/>
      <c r="K42" s="10">
        <f t="shared" si="6"/>
        <v>0</v>
      </c>
    </row>
    <row r="43" spans="1:12" x14ac:dyDescent="0.2">
      <c r="A43" s="731" t="s">
        <v>18</v>
      </c>
      <c r="B43" s="732"/>
      <c r="C43" s="272">
        <f t="shared" ref="C43:H43" si="10">SUM(C36:C42)</f>
        <v>0</v>
      </c>
      <c r="D43" s="272">
        <f t="shared" si="10"/>
        <v>0</v>
      </c>
      <c r="E43" s="273">
        <f t="shared" si="10"/>
        <v>0</v>
      </c>
      <c r="F43" s="215">
        <f t="shared" si="10"/>
        <v>0</v>
      </c>
      <c r="G43" s="79">
        <f t="shared" si="10"/>
        <v>0</v>
      </c>
      <c r="H43" s="564">
        <f t="shared" si="10"/>
        <v>0</v>
      </c>
      <c r="I43" s="9">
        <f>I32-H43</f>
        <v>100</v>
      </c>
      <c r="J43" s="121"/>
      <c r="K43" s="4"/>
    </row>
    <row r="44" spans="1:12" x14ac:dyDescent="0.2">
      <c r="A44" s="4"/>
      <c r="B44" s="121"/>
      <c r="C44" s="7"/>
      <c r="D44" s="7"/>
      <c r="E44" s="284"/>
      <c r="F44" s="14"/>
      <c r="G44" s="57" t="s">
        <v>46</v>
      </c>
      <c r="H44" s="64">
        <f>H43/I32%</f>
        <v>0</v>
      </c>
      <c r="I44" s="568">
        <f>I43/I32%</f>
        <v>100</v>
      </c>
      <c r="J44" s="121"/>
      <c r="K44" s="4"/>
    </row>
    <row r="45" spans="1:12" x14ac:dyDescent="0.2">
      <c r="A45" s="16"/>
      <c r="B45" s="125"/>
      <c r="C45" s="17"/>
      <c r="D45" s="17"/>
      <c r="E45" s="18"/>
      <c r="F45" s="23"/>
      <c r="G45" s="106"/>
      <c r="H45" s="107"/>
      <c r="I45" s="108"/>
      <c r="J45" s="125"/>
      <c r="K45" s="16"/>
    </row>
    <row r="46" spans="1:12" ht="15.75" x14ac:dyDescent="0.25">
      <c r="A46" s="93" t="s">
        <v>0</v>
      </c>
      <c r="B46" s="860" t="s">
        <v>288</v>
      </c>
      <c r="C46" s="860"/>
      <c r="D46" s="860"/>
      <c r="E46" s="860"/>
      <c r="F46" s="860"/>
      <c r="G46" s="860"/>
      <c r="H46" s="860"/>
      <c r="I46" s="70" t="s">
        <v>11</v>
      </c>
      <c r="J46" s="739" t="s">
        <v>15</v>
      </c>
      <c r="K46" s="739"/>
      <c r="L46" s="705">
        <v>46062</v>
      </c>
    </row>
    <row r="47" spans="1:12" ht="14.25" x14ac:dyDescent="0.2">
      <c r="A47" s="93" t="s">
        <v>1</v>
      </c>
      <c r="B47" s="861" t="s">
        <v>207</v>
      </c>
      <c r="C47" s="861"/>
      <c r="D47" s="861"/>
      <c r="E47" s="861"/>
      <c r="F47" s="861"/>
      <c r="G47" s="861"/>
      <c r="H47" s="861"/>
      <c r="I47" s="69">
        <v>100</v>
      </c>
      <c r="J47" s="739"/>
      <c r="K47" s="739"/>
    </row>
    <row r="48" spans="1:12" x14ac:dyDescent="0.2">
      <c r="A48" s="726" t="s">
        <v>3</v>
      </c>
      <c r="B48" s="834" t="s">
        <v>2</v>
      </c>
      <c r="C48" s="731" t="s">
        <v>19</v>
      </c>
      <c r="D48" s="837"/>
      <c r="E48" s="837"/>
      <c r="F48" s="731" t="s">
        <v>24</v>
      </c>
      <c r="G48" s="837"/>
      <c r="H48" s="732"/>
      <c r="I48" s="84" t="s">
        <v>12</v>
      </c>
      <c r="J48" s="726" t="s">
        <v>3</v>
      </c>
      <c r="K48" s="94" t="s">
        <v>13</v>
      </c>
    </row>
    <row r="49" spans="1:12" x14ac:dyDescent="0.2">
      <c r="A49" s="726"/>
      <c r="B49" s="834"/>
      <c r="C49" s="22" t="s">
        <v>289</v>
      </c>
      <c r="D49" s="22" t="s">
        <v>290</v>
      </c>
      <c r="E49" s="22" t="s">
        <v>291</v>
      </c>
      <c r="F49" s="563" t="s">
        <v>23</v>
      </c>
      <c r="G49" s="82" t="s">
        <v>8</v>
      </c>
      <c r="H49" s="563" t="s">
        <v>9</v>
      </c>
      <c r="I49" s="457" t="s">
        <v>9</v>
      </c>
      <c r="J49" s="726"/>
      <c r="K49" s="94" t="s">
        <v>14</v>
      </c>
    </row>
    <row r="50" spans="1:12" x14ac:dyDescent="0.2">
      <c r="A50" s="676" t="s">
        <v>182</v>
      </c>
      <c r="B50" s="677"/>
      <c r="C50" s="686"/>
      <c r="D50" s="686">
        <v>2200000</v>
      </c>
      <c r="E50" s="686"/>
      <c r="F50" s="687"/>
      <c r="G50" s="256"/>
      <c r="H50" s="638"/>
      <c r="I50" s="12"/>
      <c r="J50" s="122"/>
      <c r="K50" s="4"/>
    </row>
    <row r="51" spans="1:12" x14ac:dyDescent="0.2">
      <c r="A51" s="431"/>
      <c r="B51" s="112"/>
      <c r="C51" s="6"/>
      <c r="D51" s="722"/>
      <c r="E51" s="6"/>
      <c r="F51" s="8">
        <f>C51+D51+E51</f>
        <v>0</v>
      </c>
      <c r="G51" s="8">
        <f>(C51*C$50+D51*D$50+E51*E$50)*H$50</f>
        <v>0</v>
      </c>
      <c r="H51" s="14">
        <f>C51*5+D51*10+E51*6</f>
        <v>0</v>
      </c>
      <c r="I51" s="9">
        <f>I47-H51</f>
        <v>100</v>
      </c>
      <c r="J51" s="122"/>
      <c r="K51" s="10">
        <f t="shared" ref="K51:K57" si="11">J51-A51</f>
        <v>0</v>
      </c>
    </row>
    <row r="52" spans="1:12" x14ac:dyDescent="0.2">
      <c r="A52" s="431"/>
      <c r="B52" s="112"/>
      <c r="C52" s="6"/>
      <c r="D52" s="283"/>
      <c r="E52" s="6"/>
      <c r="F52" s="8">
        <f>C52+D52+E52</f>
        <v>0</v>
      </c>
      <c r="G52" s="8">
        <f t="shared" ref="G52:G57" si="12">(C52*C$50+D52*D$50+E52*E$50)*H$50</f>
        <v>0</v>
      </c>
      <c r="H52" s="14">
        <f t="shared" ref="H52:H57" si="13">C52*2.5+D52*4+E52*6</f>
        <v>0</v>
      </c>
      <c r="I52" s="9">
        <f t="shared" ref="I52:I57" si="14">I51-H52</f>
        <v>100</v>
      </c>
      <c r="J52" s="124"/>
      <c r="K52" s="10">
        <f t="shared" si="11"/>
        <v>0</v>
      </c>
    </row>
    <row r="53" spans="1:12" x14ac:dyDescent="0.2">
      <c r="A53" s="431"/>
      <c r="B53" s="112"/>
      <c r="C53" s="6"/>
      <c r="D53" s="283"/>
      <c r="E53" s="6"/>
      <c r="F53" s="8">
        <f>C53+D53+E53</f>
        <v>0</v>
      </c>
      <c r="G53" s="8">
        <f t="shared" si="12"/>
        <v>0</v>
      </c>
      <c r="H53" s="14">
        <f t="shared" si="13"/>
        <v>0</v>
      </c>
      <c r="I53" s="9">
        <f t="shared" si="14"/>
        <v>100</v>
      </c>
      <c r="J53" s="122"/>
      <c r="K53" s="15">
        <f t="shared" si="11"/>
        <v>0</v>
      </c>
    </row>
    <row r="54" spans="1:12" x14ac:dyDescent="0.2">
      <c r="A54" s="431"/>
      <c r="B54" s="112"/>
      <c r="C54" s="6"/>
      <c r="D54" s="283"/>
      <c r="E54" s="6"/>
      <c r="F54" s="8">
        <f>C54+D54+E54</f>
        <v>0</v>
      </c>
      <c r="G54" s="8">
        <f t="shared" si="12"/>
        <v>0</v>
      </c>
      <c r="H54" s="14">
        <f t="shared" si="13"/>
        <v>0</v>
      </c>
      <c r="I54" s="9">
        <f t="shared" si="14"/>
        <v>100</v>
      </c>
      <c r="J54" s="122"/>
      <c r="K54" s="10">
        <f t="shared" si="11"/>
        <v>0</v>
      </c>
    </row>
    <row r="55" spans="1:12" x14ac:dyDescent="0.2">
      <c r="A55" s="431"/>
      <c r="B55" s="112"/>
      <c r="C55" s="6"/>
      <c r="D55" s="283"/>
      <c r="E55" s="6"/>
      <c r="F55" s="8">
        <f>C55+D55+E55</f>
        <v>0</v>
      </c>
      <c r="G55" s="8">
        <f t="shared" si="12"/>
        <v>0</v>
      </c>
      <c r="H55" s="14">
        <f t="shared" si="13"/>
        <v>0</v>
      </c>
      <c r="I55" s="9">
        <f t="shared" si="14"/>
        <v>100</v>
      </c>
      <c r="J55" s="122"/>
      <c r="K55" s="10">
        <f t="shared" si="11"/>
        <v>0</v>
      </c>
    </row>
    <row r="56" spans="1:12" x14ac:dyDescent="0.2">
      <c r="A56" s="431"/>
      <c r="B56" s="112"/>
      <c r="C56" s="6"/>
      <c r="D56" s="283"/>
      <c r="E56" s="6"/>
      <c r="F56" s="8">
        <v>0</v>
      </c>
      <c r="G56" s="8">
        <f t="shared" si="12"/>
        <v>0</v>
      </c>
      <c r="H56" s="14">
        <f t="shared" si="13"/>
        <v>0</v>
      </c>
      <c r="I56" s="9">
        <f t="shared" si="14"/>
        <v>100</v>
      </c>
      <c r="J56" s="122"/>
      <c r="K56" s="10">
        <f t="shared" si="11"/>
        <v>0</v>
      </c>
    </row>
    <row r="57" spans="1:12" x14ac:dyDescent="0.2">
      <c r="A57" s="431"/>
      <c r="B57" s="112"/>
      <c r="C57" s="6"/>
      <c r="D57" s="283"/>
      <c r="E57" s="6"/>
      <c r="F57" s="8">
        <f>C57+D57+E57</f>
        <v>0</v>
      </c>
      <c r="G57" s="8">
        <f t="shared" si="12"/>
        <v>0</v>
      </c>
      <c r="H57" s="14">
        <f t="shared" si="13"/>
        <v>0</v>
      </c>
      <c r="I57" s="9">
        <f t="shared" si="14"/>
        <v>100</v>
      </c>
      <c r="J57" s="122"/>
      <c r="K57" s="10">
        <f t="shared" si="11"/>
        <v>0</v>
      </c>
    </row>
    <row r="58" spans="1:12" x14ac:dyDescent="0.2">
      <c r="A58" s="731" t="s">
        <v>18</v>
      </c>
      <c r="B58" s="732"/>
      <c r="C58" s="272">
        <f t="shared" ref="C58:H58" si="15">SUM(C51:C57)</f>
        <v>0</v>
      </c>
      <c r="D58" s="272">
        <f t="shared" si="15"/>
        <v>0</v>
      </c>
      <c r="E58" s="273">
        <f t="shared" si="15"/>
        <v>0</v>
      </c>
      <c r="F58" s="215">
        <f t="shared" si="15"/>
        <v>0</v>
      </c>
      <c r="G58" s="79">
        <f t="shared" si="15"/>
        <v>0</v>
      </c>
      <c r="H58" s="564">
        <f t="shared" si="15"/>
        <v>0</v>
      </c>
      <c r="I58" s="9">
        <f>I47-H58</f>
        <v>100</v>
      </c>
      <c r="J58" s="121"/>
      <c r="K58" s="4"/>
    </row>
    <row r="59" spans="1:12" x14ac:dyDescent="0.2">
      <c r="A59" s="4"/>
      <c r="B59" s="121"/>
      <c r="C59" s="7"/>
      <c r="D59" s="7"/>
      <c r="E59" s="284"/>
      <c r="F59" s="14"/>
      <c r="G59" s="57" t="s">
        <v>46</v>
      </c>
      <c r="H59" s="64">
        <f>H58/I47%</f>
        <v>0</v>
      </c>
      <c r="I59" s="568">
        <f>I58/I47%</f>
        <v>100</v>
      </c>
      <c r="J59" s="121"/>
      <c r="K59" s="4"/>
    </row>
    <row r="61" spans="1:12" ht="15.75" x14ac:dyDescent="0.25">
      <c r="A61" s="93" t="s">
        <v>0</v>
      </c>
      <c r="B61" s="860" t="s">
        <v>288</v>
      </c>
      <c r="C61" s="860"/>
      <c r="D61" s="860"/>
      <c r="E61" s="860"/>
      <c r="F61" s="860"/>
      <c r="G61" s="860"/>
      <c r="H61" s="860"/>
      <c r="I61" s="70" t="s">
        <v>11</v>
      </c>
      <c r="J61" s="739" t="s">
        <v>15</v>
      </c>
      <c r="K61" s="739"/>
      <c r="L61" s="708">
        <v>46077</v>
      </c>
    </row>
    <row r="62" spans="1:12" ht="14.25" x14ac:dyDescent="0.2">
      <c r="A62" s="93" t="s">
        <v>1</v>
      </c>
      <c r="B62" s="861" t="s">
        <v>294</v>
      </c>
      <c r="C62" s="861"/>
      <c r="D62" s="861"/>
      <c r="E62" s="861"/>
      <c r="F62" s="861"/>
      <c r="G62" s="861"/>
      <c r="H62" s="861"/>
      <c r="I62" s="69">
        <v>100</v>
      </c>
      <c r="J62" s="739"/>
      <c r="K62" s="739"/>
    </row>
    <row r="63" spans="1:12" x14ac:dyDescent="0.2">
      <c r="A63" s="726" t="s">
        <v>3</v>
      </c>
      <c r="B63" s="834" t="s">
        <v>2</v>
      </c>
      <c r="C63" s="731" t="s">
        <v>19</v>
      </c>
      <c r="D63" s="837"/>
      <c r="E63" s="837"/>
      <c r="F63" s="731" t="s">
        <v>24</v>
      </c>
      <c r="G63" s="837"/>
      <c r="H63" s="732"/>
      <c r="I63" s="84" t="s">
        <v>12</v>
      </c>
      <c r="J63" s="726" t="s">
        <v>3</v>
      </c>
      <c r="K63" s="94" t="s">
        <v>13</v>
      </c>
    </row>
    <row r="64" spans="1:12" x14ac:dyDescent="0.2">
      <c r="A64" s="726"/>
      <c r="B64" s="834"/>
      <c r="C64" s="22" t="s">
        <v>289</v>
      </c>
      <c r="D64" s="22" t="s">
        <v>290</v>
      </c>
      <c r="E64" s="22" t="s">
        <v>291</v>
      </c>
      <c r="F64" s="563" t="s">
        <v>23</v>
      </c>
      <c r="G64" s="82" t="s">
        <v>8</v>
      </c>
      <c r="H64" s="563" t="s">
        <v>9</v>
      </c>
      <c r="I64" s="457" t="s">
        <v>9</v>
      </c>
      <c r="J64" s="726"/>
      <c r="K64" s="94" t="s">
        <v>14</v>
      </c>
    </row>
    <row r="65" spans="1:12" x14ac:dyDescent="0.2">
      <c r="A65" s="676" t="s">
        <v>182</v>
      </c>
      <c r="B65" s="677"/>
      <c r="C65" s="686"/>
      <c r="D65" s="686">
        <v>2200000</v>
      </c>
      <c r="E65" s="686"/>
      <c r="F65" s="687"/>
      <c r="G65" s="256"/>
      <c r="H65" s="638"/>
      <c r="I65" s="12"/>
      <c r="J65" s="122"/>
      <c r="K65" s="4"/>
    </row>
    <row r="66" spans="1:12" x14ac:dyDescent="0.2">
      <c r="A66" s="431"/>
      <c r="B66" s="112"/>
      <c r="C66" s="6"/>
      <c r="D66" s="722"/>
      <c r="E66" s="6"/>
      <c r="F66" s="8">
        <f>C66+D66+E66</f>
        <v>0</v>
      </c>
      <c r="G66" s="8">
        <f>(C66*C$35+D66*D$35+E66*E$35)*H$35</f>
        <v>0</v>
      </c>
      <c r="H66" s="14">
        <f>C66*5+D66*10+E66*6</f>
        <v>0</v>
      </c>
      <c r="I66" s="9">
        <f>I62-H66</f>
        <v>100</v>
      </c>
      <c r="J66" s="122"/>
      <c r="K66" s="10">
        <f t="shared" ref="K66:K72" si="16">J66-A66</f>
        <v>0</v>
      </c>
    </row>
    <row r="67" spans="1:12" x14ac:dyDescent="0.2">
      <c r="A67" s="431"/>
      <c r="B67" s="112"/>
      <c r="C67" s="6"/>
      <c r="D67" s="283"/>
      <c r="E67" s="6"/>
      <c r="F67" s="8">
        <f>C67+D67+E67</f>
        <v>0</v>
      </c>
      <c r="G67" s="8">
        <f t="shared" ref="G67:G72" si="17">(C67*C$35+D67*D$35+E67*E$35)*H$35</f>
        <v>0</v>
      </c>
      <c r="H67" s="14">
        <f t="shared" ref="H67:H72" si="18">C67*2.5+D67*4+E67*6</f>
        <v>0</v>
      </c>
      <c r="I67" s="9">
        <f t="shared" ref="I67:I72" si="19">I66-H67</f>
        <v>100</v>
      </c>
      <c r="J67" s="124"/>
      <c r="K67" s="10">
        <f t="shared" si="16"/>
        <v>0</v>
      </c>
    </row>
    <row r="68" spans="1:12" x14ac:dyDescent="0.2">
      <c r="A68" s="431"/>
      <c r="B68" s="112"/>
      <c r="C68" s="6"/>
      <c r="D68" s="283"/>
      <c r="E68" s="6"/>
      <c r="F68" s="8">
        <f>C68+D68+E68</f>
        <v>0</v>
      </c>
      <c r="G68" s="8">
        <f t="shared" si="17"/>
        <v>0</v>
      </c>
      <c r="H68" s="14">
        <f t="shared" si="18"/>
        <v>0</v>
      </c>
      <c r="I68" s="9">
        <f t="shared" si="19"/>
        <v>100</v>
      </c>
      <c r="J68" s="122"/>
      <c r="K68" s="15">
        <f t="shared" si="16"/>
        <v>0</v>
      </c>
    </row>
    <row r="69" spans="1:12" x14ac:dyDescent="0.2">
      <c r="A69" s="431"/>
      <c r="B69" s="112"/>
      <c r="C69" s="6"/>
      <c r="D69" s="283"/>
      <c r="E69" s="6"/>
      <c r="F69" s="8">
        <f>C69+D69+E69</f>
        <v>0</v>
      </c>
      <c r="G69" s="8">
        <f t="shared" si="17"/>
        <v>0</v>
      </c>
      <c r="H69" s="14">
        <f t="shared" si="18"/>
        <v>0</v>
      </c>
      <c r="I69" s="9">
        <f t="shared" si="19"/>
        <v>100</v>
      </c>
      <c r="J69" s="122"/>
      <c r="K69" s="10">
        <f t="shared" si="16"/>
        <v>0</v>
      </c>
    </row>
    <row r="70" spans="1:12" x14ac:dyDescent="0.2">
      <c r="A70" s="431"/>
      <c r="B70" s="112"/>
      <c r="C70" s="6"/>
      <c r="D70" s="283"/>
      <c r="E70" s="6"/>
      <c r="F70" s="8">
        <f>C70+D70+E70</f>
        <v>0</v>
      </c>
      <c r="G70" s="8">
        <f t="shared" si="17"/>
        <v>0</v>
      </c>
      <c r="H70" s="14">
        <f t="shared" si="18"/>
        <v>0</v>
      </c>
      <c r="I70" s="9">
        <f t="shared" si="19"/>
        <v>100</v>
      </c>
      <c r="J70" s="122"/>
      <c r="K70" s="10">
        <f t="shared" si="16"/>
        <v>0</v>
      </c>
    </row>
    <row r="71" spans="1:12" x14ac:dyDescent="0.2">
      <c r="A71" s="431"/>
      <c r="B71" s="112"/>
      <c r="C71" s="6"/>
      <c r="D71" s="283"/>
      <c r="E71" s="6"/>
      <c r="F71" s="8">
        <v>0</v>
      </c>
      <c r="G71" s="8">
        <f t="shared" si="17"/>
        <v>0</v>
      </c>
      <c r="H71" s="14">
        <f t="shared" si="18"/>
        <v>0</v>
      </c>
      <c r="I71" s="9">
        <f t="shared" si="19"/>
        <v>100</v>
      </c>
      <c r="J71" s="122"/>
      <c r="K71" s="10">
        <f t="shared" si="16"/>
        <v>0</v>
      </c>
    </row>
    <row r="72" spans="1:12" x14ac:dyDescent="0.2">
      <c r="A72" s="431"/>
      <c r="B72" s="112"/>
      <c r="C72" s="6"/>
      <c r="D72" s="283"/>
      <c r="E72" s="6"/>
      <c r="F72" s="8">
        <f>C72+D72+E72</f>
        <v>0</v>
      </c>
      <c r="G72" s="8">
        <f t="shared" si="17"/>
        <v>0</v>
      </c>
      <c r="H72" s="14">
        <f t="shared" si="18"/>
        <v>0</v>
      </c>
      <c r="I72" s="9">
        <f t="shared" si="19"/>
        <v>100</v>
      </c>
      <c r="J72" s="122"/>
      <c r="K72" s="10">
        <f t="shared" si="16"/>
        <v>0</v>
      </c>
    </row>
    <row r="73" spans="1:12" x14ac:dyDescent="0.2">
      <c r="A73" s="731" t="s">
        <v>18</v>
      </c>
      <c r="B73" s="732"/>
      <c r="C73" s="272">
        <f t="shared" ref="C73:H73" si="20">SUM(C66:C72)</f>
        <v>0</v>
      </c>
      <c r="D73" s="272">
        <f t="shared" si="20"/>
        <v>0</v>
      </c>
      <c r="E73" s="273">
        <f t="shared" si="20"/>
        <v>0</v>
      </c>
      <c r="F73" s="215">
        <f t="shared" si="20"/>
        <v>0</v>
      </c>
      <c r="G73" s="79">
        <f t="shared" si="20"/>
        <v>0</v>
      </c>
      <c r="H73" s="564">
        <f t="shared" si="20"/>
        <v>0</v>
      </c>
      <c r="I73" s="9">
        <f>I62-H73</f>
        <v>100</v>
      </c>
      <c r="J73" s="121"/>
      <c r="K73" s="4"/>
    </row>
    <row r="74" spans="1:12" x14ac:dyDescent="0.2">
      <c r="A74" s="4"/>
      <c r="B74" s="121"/>
      <c r="C74" s="7"/>
      <c r="D74" s="7"/>
      <c r="E74" s="284"/>
      <c r="F74" s="14"/>
      <c r="G74" s="57" t="s">
        <v>46</v>
      </c>
      <c r="H74" s="64">
        <f>H73/I62%</f>
        <v>0</v>
      </c>
      <c r="I74" s="568">
        <f>I73/I62%</f>
        <v>100</v>
      </c>
      <c r="J74" s="121"/>
      <c r="K74" s="4"/>
    </row>
    <row r="76" spans="1:12" ht="15.75" x14ac:dyDescent="0.25">
      <c r="A76" s="93" t="s">
        <v>0</v>
      </c>
      <c r="B76" s="860" t="s">
        <v>288</v>
      </c>
      <c r="C76" s="860"/>
      <c r="D76" s="860"/>
      <c r="E76" s="860"/>
      <c r="F76" s="860"/>
      <c r="G76" s="860"/>
      <c r="H76" s="860"/>
      <c r="I76" s="70" t="s">
        <v>11</v>
      </c>
      <c r="J76" s="739" t="s">
        <v>15</v>
      </c>
      <c r="K76" s="739"/>
      <c r="L76" s="708">
        <v>46072</v>
      </c>
    </row>
    <row r="77" spans="1:12" ht="14.25" x14ac:dyDescent="0.2">
      <c r="A77" s="93" t="s">
        <v>1</v>
      </c>
      <c r="B77" s="861" t="s">
        <v>295</v>
      </c>
      <c r="C77" s="861"/>
      <c r="D77" s="861"/>
      <c r="E77" s="861"/>
      <c r="F77" s="861"/>
      <c r="G77" s="861"/>
      <c r="H77" s="861"/>
      <c r="I77" s="69">
        <v>100</v>
      </c>
      <c r="J77" s="739"/>
      <c r="K77" s="739"/>
    </row>
    <row r="78" spans="1:12" x14ac:dyDescent="0.2">
      <c r="A78" s="726" t="s">
        <v>3</v>
      </c>
      <c r="B78" s="834" t="s">
        <v>2</v>
      </c>
      <c r="C78" s="731" t="s">
        <v>19</v>
      </c>
      <c r="D78" s="837"/>
      <c r="E78" s="837"/>
      <c r="F78" s="731" t="s">
        <v>24</v>
      </c>
      <c r="G78" s="837"/>
      <c r="H78" s="732"/>
      <c r="I78" s="84" t="s">
        <v>12</v>
      </c>
      <c r="J78" s="726" t="s">
        <v>3</v>
      </c>
      <c r="K78" s="94" t="s">
        <v>13</v>
      </c>
    </row>
    <row r="79" spans="1:12" x14ac:dyDescent="0.2">
      <c r="A79" s="726"/>
      <c r="B79" s="834"/>
      <c r="C79" s="22" t="s">
        <v>289</v>
      </c>
      <c r="D79" s="22" t="s">
        <v>290</v>
      </c>
      <c r="E79" s="22" t="s">
        <v>291</v>
      </c>
      <c r="F79" s="563" t="s">
        <v>23</v>
      </c>
      <c r="G79" s="82" t="s">
        <v>8</v>
      </c>
      <c r="H79" s="563" t="s">
        <v>9</v>
      </c>
      <c r="I79" s="457" t="s">
        <v>9</v>
      </c>
      <c r="J79" s="726"/>
      <c r="K79" s="94" t="s">
        <v>14</v>
      </c>
    </row>
    <row r="80" spans="1:12" x14ac:dyDescent="0.2">
      <c r="A80" s="676" t="s">
        <v>182</v>
      </c>
      <c r="B80" s="677"/>
      <c r="C80" s="686"/>
      <c r="D80" s="686">
        <v>2200000</v>
      </c>
      <c r="E80" s="686"/>
      <c r="F80" s="687"/>
      <c r="G80" s="256"/>
      <c r="H80" s="638"/>
      <c r="I80" s="12"/>
      <c r="J80" s="122"/>
      <c r="K80" s="4"/>
    </row>
    <row r="81" spans="1:12" x14ac:dyDescent="0.2">
      <c r="A81" s="431"/>
      <c r="B81" s="112"/>
      <c r="C81" s="6"/>
      <c r="D81" s="283"/>
      <c r="E81" s="6"/>
      <c r="F81" s="8">
        <f>C81+D81+E81</f>
        <v>0</v>
      </c>
      <c r="G81" s="8">
        <f>(C81*C$50+D81*D$50+E81*E$50)*H$50</f>
        <v>0</v>
      </c>
      <c r="H81" s="14">
        <f>C81*5+D81*10+E81*6</f>
        <v>0</v>
      </c>
      <c r="I81" s="9">
        <f>I77-H81</f>
        <v>100</v>
      </c>
      <c r="J81" s="122"/>
      <c r="K81" s="10">
        <f t="shared" ref="K81:K87" si="21">J81-A81</f>
        <v>0</v>
      </c>
    </row>
    <row r="82" spans="1:12" x14ac:dyDescent="0.2">
      <c r="A82" s="431"/>
      <c r="B82" s="112"/>
      <c r="C82" s="6"/>
      <c r="D82" s="283"/>
      <c r="E82" s="6"/>
      <c r="F82" s="8">
        <f>C82+D82+E82</f>
        <v>0</v>
      </c>
      <c r="G82" s="8">
        <f t="shared" ref="G82:G87" si="22">(C82*C$50+D82*D$50+E82*E$50)*H$50</f>
        <v>0</v>
      </c>
      <c r="H82" s="14">
        <f t="shared" ref="H82:H87" si="23">C82*2.5+D82*4+E82*6</f>
        <v>0</v>
      </c>
      <c r="I82" s="9">
        <f t="shared" ref="I82:I87" si="24">I81-H82</f>
        <v>100</v>
      </c>
      <c r="J82" s="124"/>
      <c r="K82" s="10">
        <f t="shared" si="21"/>
        <v>0</v>
      </c>
    </row>
    <row r="83" spans="1:12" x14ac:dyDescent="0.2">
      <c r="A83" s="431"/>
      <c r="B83" s="112"/>
      <c r="C83" s="6"/>
      <c r="D83" s="283"/>
      <c r="E83" s="6"/>
      <c r="F83" s="8">
        <f>C83+D83+E83</f>
        <v>0</v>
      </c>
      <c r="G83" s="8">
        <f t="shared" si="22"/>
        <v>0</v>
      </c>
      <c r="H83" s="14">
        <f t="shared" si="23"/>
        <v>0</v>
      </c>
      <c r="I83" s="9">
        <f t="shared" si="24"/>
        <v>100</v>
      </c>
      <c r="J83" s="122"/>
      <c r="K83" s="15">
        <f t="shared" si="21"/>
        <v>0</v>
      </c>
    </row>
    <row r="84" spans="1:12" x14ac:dyDescent="0.2">
      <c r="A84" s="431"/>
      <c r="B84" s="112"/>
      <c r="C84" s="6"/>
      <c r="D84" s="283"/>
      <c r="E84" s="6"/>
      <c r="F84" s="8">
        <f>C84+D84+E84</f>
        <v>0</v>
      </c>
      <c r="G84" s="8">
        <f t="shared" si="22"/>
        <v>0</v>
      </c>
      <c r="H84" s="14">
        <f t="shared" si="23"/>
        <v>0</v>
      </c>
      <c r="I84" s="9">
        <f t="shared" si="24"/>
        <v>100</v>
      </c>
      <c r="J84" s="122"/>
      <c r="K84" s="10">
        <f t="shared" si="21"/>
        <v>0</v>
      </c>
    </row>
    <row r="85" spans="1:12" x14ac:dyDescent="0.2">
      <c r="A85" s="431"/>
      <c r="B85" s="112"/>
      <c r="C85" s="6"/>
      <c r="D85" s="283"/>
      <c r="E85" s="6"/>
      <c r="F85" s="8">
        <f>C85+D85+E85</f>
        <v>0</v>
      </c>
      <c r="G85" s="8">
        <f t="shared" si="22"/>
        <v>0</v>
      </c>
      <c r="H85" s="14">
        <f t="shared" si="23"/>
        <v>0</v>
      </c>
      <c r="I85" s="9">
        <f t="shared" si="24"/>
        <v>100</v>
      </c>
      <c r="J85" s="122"/>
      <c r="K85" s="10">
        <f t="shared" si="21"/>
        <v>0</v>
      </c>
    </row>
    <row r="86" spans="1:12" x14ac:dyDescent="0.2">
      <c r="A86" s="431"/>
      <c r="B86" s="112"/>
      <c r="C86" s="6"/>
      <c r="D86" s="283"/>
      <c r="E86" s="6"/>
      <c r="F86" s="8">
        <v>0</v>
      </c>
      <c r="G86" s="8">
        <f t="shared" si="22"/>
        <v>0</v>
      </c>
      <c r="H86" s="14">
        <f t="shared" si="23"/>
        <v>0</v>
      </c>
      <c r="I86" s="9">
        <f t="shared" si="24"/>
        <v>100</v>
      </c>
      <c r="J86" s="122"/>
      <c r="K86" s="10">
        <f t="shared" si="21"/>
        <v>0</v>
      </c>
    </row>
    <row r="87" spans="1:12" x14ac:dyDescent="0.2">
      <c r="A87" s="431"/>
      <c r="B87" s="112"/>
      <c r="C87" s="6"/>
      <c r="D87" s="283"/>
      <c r="E87" s="6"/>
      <c r="F87" s="8">
        <f>C87+D87+E87</f>
        <v>0</v>
      </c>
      <c r="G87" s="8">
        <f t="shared" si="22"/>
        <v>0</v>
      </c>
      <c r="H87" s="14">
        <f t="shared" si="23"/>
        <v>0</v>
      </c>
      <c r="I87" s="9">
        <f t="shared" si="24"/>
        <v>100</v>
      </c>
      <c r="J87" s="122"/>
      <c r="K87" s="10">
        <f t="shared" si="21"/>
        <v>0</v>
      </c>
    </row>
    <row r="88" spans="1:12" x14ac:dyDescent="0.2">
      <c r="A88" s="731" t="s">
        <v>18</v>
      </c>
      <c r="B88" s="732"/>
      <c r="C88" s="272">
        <f t="shared" ref="C88:H88" si="25">SUM(C81:C87)</f>
        <v>0</v>
      </c>
      <c r="D88" s="272">
        <f t="shared" si="25"/>
        <v>0</v>
      </c>
      <c r="E88" s="273">
        <f t="shared" si="25"/>
        <v>0</v>
      </c>
      <c r="F88" s="215">
        <f t="shared" si="25"/>
        <v>0</v>
      </c>
      <c r="G88" s="79">
        <f t="shared" si="25"/>
        <v>0</v>
      </c>
      <c r="H88" s="564">
        <f t="shared" si="25"/>
        <v>0</v>
      </c>
      <c r="I88" s="9">
        <f>I77-H88</f>
        <v>100</v>
      </c>
      <c r="J88" s="121"/>
      <c r="K88" s="4"/>
    </row>
    <row r="89" spans="1:12" x14ac:dyDescent="0.2">
      <c r="A89" s="4"/>
      <c r="B89" s="121"/>
      <c r="C89" s="7"/>
      <c r="D89" s="7"/>
      <c r="E89" s="284"/>
      <c r="F89" s="14"/>
      <c r="G89" s="57" t="s">
        <v>46</v>
      </c>
      <c r="H89" s="64">
        <f>H88/I77%</f>
        <v>0</v>
      </c>
      <c r="I89" s="568">
        <f>I88/I77%</f>
        <v>100</v>
      </c>
      <c r="J89" s="121"/>
      <c r="K89" s="4"/>
    </row>
    <row r="90" spans="1:12" x14ac:dyDescent="0.2">
      <c r="A90" s="16"/>
      <c r="B90" s="125"/>
      <c r="C90" s="17"/>
      <c r="D90" s="17"/>
      <c r="E90" s="714"/>
      <c r="F90" s="23"/>
      <c r="G90" s="100"/>
      <c r="H90" s="101"/>
      <c r="I90" s="715"/>
      <c r="J90" s="125"/>
      <c r="K90" s="16"/>
    </row>
    <row r="91" spans="1:12" ht="15.75" x14ac:dyDescent="0.25">
      <c r="A91" s="93" t="s">
        <v>0</v>
      </c>
      <c r="B91" s="860" t="s">
        <v>288</v>
      </c>
      <c r="C91" s="860"/>
      <c r="D91" s="860"/>
      <c r="E91" s="860"/>
      <c r="F91" s="860"/>
      <c r="G91" s="860"/>
      <c r="H91" s="860"/>
      <c r="I91" s="70" t="s">
        <v>11</v>
      </c>
      <c r="J91" s="739" t="s">
        <v>15</v>
      </c>
      <c r="K91" s="739"/>
      <c r="L91" s="705">
        <v>46083</v>
      </c>
    </row>
    <row r="92" spans="1:12" ht="14.25" x14ac:dyDescent="0.2">
      <c r="A92" s="93" t="s">
        <v>1</v>
      </c>
      <c r="B92" s="861" t="s">
        <v>297</v>
      </c>
      <c r="C92" s="861"/>
      <c r="D92" s="861"/>
      <c r="E92" s="861"/>
      <c r="F92" s="861"/>
      <c r="G92" s="861"/>
      <c r="H92" s="861"/>
      <c r="I92" s="69">
        <v>100</v>
      </c>
      <c r="J92" s="739"/>
      <c r="K92" s="739"/>
    </row>
    <row r="93" spans="1:12" x14ac:dyDescent="0.2">
      <c r="A93" s="726" t="s">
        <v>3</v>
      </c>
      <c r="B93" s="834" t="s">
        <v>2</v>
      </c>
      <c r="C93" s="731" t="s">
        <v>19</v>
      </c>
      <c r="D93" s="837"/>
      <c r="E93" s="837"/>
      <c r="F93" s="731" t="s">
        <v>24</v>
      </c>
      <c r="G93" s="837"/>
      <c r="H93" s="732"/>
      <c r="I93" s="84" t="s">
        <v>12</v>
      </c>
      <c r="J93" s="726" t="s">
        <v>3</v>
      </c>
      <c r="K93" s="94" t="s">
        <v>13</v>
      </c>
    </row>
    <row r="94" spans="1:12" x14ac:dyDescent="0.2">
      <c r="A94" s="726"/>
      <c r="B94" s="834"/>
      <c r="C94" s="22" t="s">
        <v>289</v>
      </c>
      <c r="D94" s="22" t="s">
        <v>290</v>
      </c>
      <c r="E94" s="22" t="s">
        <v>291</v>
      </c>
      <c r="F94" s="563" t="s">
        <v>23</v>
      </c>
      <c r="G94" s="82" t="s">
        <v>8</v>
      </c>
      <c r="H94" s="563" t="s">
        <v>9</v>
      </c>
      <c r="I94" s="457" t="s">
        <v>9</v>
      </c>
      <c r="J94" s="726"/>
      <c r="K94" s="94" t="s">
        <v>14</v>
      </c>
    </row>
    <row r="95" spans="1:12" x14ac:dyDescent="0.2">
      <c r="A95" s="676" t="s">
        <v>182</v>
      </c>
      <c r="B95" s="677"/>
      <c r="C95" s="686"/>
      <c r="D95" s="686">
        <v>2200000</v>
      </c>
      <c r="E95" s="686"/>
      <c r="F95" s="687"/>
      <c r="G95" s="256"/>
      <c r="H95" s="638">
        <v>0.94</v>
      </c>
      <c r="I95" s="12"/>
      <c r="J95" s="122"/>
      <c r="K95" s="4"/>
    </row>
    <row r="96" spans="1:12" x14ac:dyDescent="0.2">
      <c r="A96" s="431"/>
      <c r="B96" s="112"/>
      <c r="C96" s="6"/>
      <c r="D96" s="722"/>
      <c r="E96" s="6"/>
      <c r="F96" s="8">
        <f>C96+D96+E96</f>
        <v>0</v>
      </c>
      <c r="G96" s="8">
        <f>(C96*C$95+D96*D$95+E96*E$95)*H$95</f>
        <v>0</v>
      </c>
      <c r="H96" s="14">
        <f>C96*5+D96*10+E96*6</f>
        <v>0</v>
      </c>
      <c r="I96" s="9">
        <f>I92-H96</f>
        <v>100</v>
      </c>
      <c r="J96" s="122"/>
      <c r="K96" s="10">
        <f t="shared" ref="K96:K102" si="26">J96-A96</f>
        <v>0</v>
      </c>
    </row>
    <row r="97" spans="1:11" x14ac:dyDescent="0.2">
      <c r="A97" s="431"/>
      <c r="B97" s="112"/>
      <c r="C97" s="6"/>
      <c r="D97" s="283"/>
      <c r="E97" s="6"/>
      <c r="F97" s="8">
        <f>C97+D97+E97</f>
        <v>0</v>
      </c>
      <c r="G97" s="8">
        <f t="shared" ref="G97:G102" si="27">(C97*C$50+D97*D$50+E97*E$50)*H$50</f>
        <v>0</v>
      </c>
      <c r="H97" s="14">
        <f t="shared" ref="H97:H102" si="28">C97*2.5+D97*4+E97*6</f>
        <v>0</v>
      </c>
      <c r="I97" s="9">
        <f t="shared" ref="I97:I102" si="29">I96-H97</f>
        <v>100</v>
      </c>
      <c r="J97" s="124"/>
      <c r="K97" s="10">
        <f t="shared" si="26"/>
        <v>0</v>
      </c>
    </row>
    <row r="98" spans="1:11" x14ac:dyDescent="0.2">
      <c r="A98" s="431"/>
      <c r="B98" s="112"/>
      <c r="C98" s="6"/>
      <c r="D98" s="283"/>
      <c r="E98" s="6"/>
      <c r="F98" s="8">
        <f>C98+D98+E98</f>
        <v>0</v>
      </c>
      <c r="G98" s="8">
        <f t="shared" si="27"/>
        <v>0</v>
      </c>
      <c r="H98" s="14">
        <f t="shared" si="28"/>
        <v>0</v>
      </c>
      <c r="I98" s="9">
        <f t="shared" si="29"/>
        <v>100</v>
      </c>
      <c r="J98" s="122"/>
      <c r="K98" s="15">
        <f t="shared" si="26"/>
        <v>0</v>
      </c>
    </row>
    <row r="99" spans="1:11" x14ac:dyDescent="0.2">
      <c r="A99" s="431"/>
      <c r="B99" s="112"/>
      <c r="C99" s="6"/>
      <c r="D99" s="283"/>
      <c r="E99" s="6"/>
      <c r="F99" s="8">
        <f>C99+D99+E99</f>
        <v>0</v>
      </c>
      <c r="G99" s="8">
        <f t="shared" si="27"/>
        <v>0</v>
      </c>
      <c r="H99" s="14">
        <f t="shared" si="28"/>
        <v>0</v>
      </c>
      <c r="I99" s="9">
        <f t="shared" si="29"/>
        <v>100</v>
      </c>
      <c r="J99" s="122"/>
      <c r="K99" s="10">
        <f t="shared" si="26"/>
        <v>0</v>
      </c>
    </row>
    <row r="100" spans="1:11" x14ac:dyDescent="0.2">
      <c r="A100" s="431"/>
      <c r="B100" s="112"/>
      <c r="C100" s="6"/>
      <c r="D100" s="283"/>
      <c r="E100" s="6"/>
      <c r="F100" s="8">
        <f>C100+D100+E100</f>
        <v>0</v>
      </c>
      <c r="G100" s="8">
        <f t="shared" si="27"/>
        <v>0</v>
      </c>
      <c r="H100" s="14">
        <f t="shared" si="28"/>
        <v>0</v>
      </c>
      <c r="I100" s="9">
        <f t="shared" si="29"/>
        <v>100</v>
      </c>
      <c r="J100" s="122"/>
      <c r="K100" s="10">
        <f t="shared" si="26"/>
        <v>0</v>
      </c>
    </row>
    <row r="101" spans="1:11" x14ac:dyDescent="0.2">
      <c r="A101" s="431"/>
      <c r="B101" s="112"/>
      <c r="C101" s="6"/>
      <c r="D101" s="283"/>
      <c r="E101" s="6"/>
      <c r="F101" s="8">
        <v>0</v>
      </c>
      <c r="G101" s="8">
        <f t="shared" si="27"/>
        <v>0</v>
      </c>
      <c r="H101" s="14">
        <f t="shared" si="28"/>
        <v>0</v>
      </c>
      <c r="I101" s="9">
        <f t="shared" si="29"/>
        <v>100</v>
      </c>
      <c r="J101" s="122"/>
      <c r="K101" s="10">
        <f t="shared" si="26"/>
        <v>0</v>
      </c>
    </row>
    <row r="102" spans="1:11" x14ac:dyDescent="0.2">
      <c r="A102" s="431"/>
      <c r="B102" s="112"/>
      <c r="C102" s="6"/>
      <c r="D102" s="283"/>
      <c r="E102" s="6"/>
      <c r="F102" s="8">
        <f>C102+D102+E102</f>
        <v>0</v>
      </c>
      <c r="G102" s="8">
        <f t="shared" si="27"/>
        <v>0</v>
      </c>
      <c r="H102" s="14">
        <f t="shared" si="28"/>
        <v>0</v>
      </c>
      <c r="I102" s="9">
        <f t="shared" si="29"/>
        <v>100</v>
      </c>
      <c r="J102" s="122"/>
      <c r="K102" s="10">
        <f t="shared" si="26"/>
        <v>0</v>
      </c>
    </row>
    <row r="103" spans="1:11" x14ac:dyDescent="0.2">
      <c r="A103" s="731" t="s">
        <v>18</v>
      </c>
      <c r="B103" s="732"/>
      <c r="C103" s="272">
        <f t="shared" ref="C103:H103" si="30">SUM(C96:C102)</f>
        <v>0</v>
      </c>
      <c r="D103" s="272">
        <f t="shared" si="30"/>
        <v>0</v>
      </c>
      <c r="E103" s="273">
        <f t="shared" si="30"/>
        <v>0</v>
      </c>
      <c r="F103" s="215">
        <f t="shared" si="30"/>
        <v>0</v>
      </c>
      <c r="G103" s="79">
        <f t="shared" si="30"/>
        <v>0</v>
      </c>
      <c r="H103" s="564">
        <f t="shared" si="30"/>
        <v>0</v>
      </c>
      <c r="I103" s="9">
        <f>I92-H103</f>
        <v>100</v>
      </c>
      <c r="J103" s="121"/>
      <c r="K103" s="4"/>
    </row>
    <row r="104" spans="1:11" x14ac:dyDescent="0.2">
      <c r="A104" s="4"/>
      <c r="B104" s="121"/>
      <c r="C104" s="7"/>
      <c r="D104" s="7"/>
      <c r="E104" s="284"/>
      <c r="F104" s="14"/>
      <c r="G104" s="57" t="s">
        <v>46</v>
      </c>
      <c r="H104" s="64">
        <f>H103/I92%</f>
        <v>0</v>
      </c>
      <c r="I104" s="568">
        <f>I103/I92%</f>
        <v>100</v>
      </c>
      <c r="J104" s="121"/>
      <c r="K104" s="4"/>
    </row>
    <row r="105" spans="1:11" x14ac:dyDescent="0.2">
      <c r="A105" s="16"/>
      <c r="B105" s="125"/>
      <c r="C105" s="17"/>
      <c r="D105" s="17"/>
      <c r="E105" s="714"/>
      <c r="F105" s="23"/>
      <c r="G105" s="100"/>
      <c r="H105" s="101"/>
      <c r="I105" s="715"/>
      <c r="J105" s="125"/>
      <c r="K105" s="16"/>
    </row>
    <row r="106" spans="1:11" x14ac:dyDescent="0.2">
      <c r="A106" s="73"/>
      <c r="B106" s="73"/>
      <c r="C106" s="73"/>
      <c r="D106" s="73"/>
      <c r="E106" s="73"/>
      <c r="F106" s="358"/>
      <c r="G106" s="71"/>
    </row>
    <row r="107" spans="1:11" x14ac:dyDescent="0.2">
      <c r="A107" s="73"/>
      <c r="B107" s="73"/>
      <c r="C107" s="73"/>
      <c r="D107" s="73"/>
      <c r="E107" s="73"/>
      <c r="F107" s="358"/>
      <c r="G107" s="71"/>
    </row>
    <row r="108" spans="1:11" x14ac:dyDescent="0.2">
      <c r="A108" s="73"/>
      <c r="B108" s="73"/>
      <c r="C108" s="73"/>
      <c r="D108" s="73"/>
      <c r="E108" s="73"/>
      <c r="F108" s="358"/>
      <c r="G108" s="71"/>
    </row>
    <row r="109" spans="1:11" x14ac:dyDescent="0.2">
      <c r="A109" s="862" t="s">
        <v>293</v>
      </c>
      <c r="B109" s="862"/>
      <c r="C109" s="862"/>
      <c r="D109" s="862"/>
      <c r="E109" s="862"/>
      <c r="F109" s="358">
        <f>I4</f>
        <v>100</v>
      </c>
      <c r="G109" s="71"/>
    </row>
    <row r="110" spans="1:11" x14ac:dyDescent="0.2">
      <c r="F110" s="32"/>
    </row>
    <row r="111" spans="1:11" x14ac:dyDescent="0.2">
      <c r="A111" s="784" t="s">
        <v>114</v>
      </c>
      <c r="B111" s="784"/>
      <c r="C111" s="784"/>
      <c r="D111" s="784"/>
      <c r="E111" s="784"/>
      <c r="F111" s="77">
        <f>F13</f>
        <v>0</v>
      </c>
    </row>
    <row r="112" spans="1:11" x14ac:dyDescent="0.2">
      <c r="F112" s="32"/>
    </row>
    <row r="113" spans="1:7" x14ac:dyDescent="0.2">
      <c r="A113" s="830" t="s">
        <v>113</v>
      </c>
      <c r="B113" s="830"/>
      <c r="C113" s="830"/>
      <c r="D113" s="830"/>
      <c r="E113" s="830"/>
      <c r="F113" s="60">
        <f>F109-F111</f>
        <v>100</v>
      </c>
    </row>
    <row r="114" spans="1:7" x14ac:dyDescent="0.2">
      <c r="F114" s="32"/>
    </row>
    <row r="115" spans="1:7" x14ac:dyDescent="0.2">
      <c r="A115" s="748" t="s">
        <v>50</v>
      </c>
      <c r="B115" s="748"/>
      <c r="C115" s="748"/>
      <c r="D115" s="748"/>
      <c r="E115" s="748"/>
      <c r="F115" s="61">
        <f>F111/F109%</f>
        <v>0</v>
      </c>
    </row>
    <row r="116" spans="1:7" x14ac:dyDescent="0.2">
      <c r="A116" s="73"/>
      <c r="B116" s="127"/>
      <c r="C116" s="73"/>
      <c r="D116" s="73"/>
      <c r="E116" s="73"/>
      <c r="F116" s="66"/>
    </row>
    <row r="117" spans="1:7" x14ac:dyDescent="0.2">
      <c r="A117" s="68" t="s">
        <v>51</v>
      </c>
      <c r="B117" s="128"/>
      <c r="C117" s="68"/>
      <c r="D117" s="68"/>
      <c r="E117" s="68"/>
      <c r="F117" s="61">
        <f>F113/F109%</f>
        <v>100</v>
      </c>
    </row>
    <row r="118" spans="1:7" x14ac:dyDescent="0.2">
      <c r="F118" s="32"/>
    </row>
    <row r="119" spans="1:7" x14ac:dyDescent="0.2">
      <c r="A119" s="75" t="s">
        <v>53</v>
      </c>
      <c r="B119" s="133"/>
      <c r="C119" s="75"/>
      <c r="D119" s="75"/>
      <c r="E119" s="75"/>
      <c r="F119" s="360">
        <f>H13</f>
        <v>0</v>
      </c>
      <c r="G119" s="357"/>
    </row>
    <row r="121" spans="1:7" x14ac:dyDescent="0.2">
      <c r="A121" s="791" t="s">
        <v>118</v>
      </c>
      <c r="B121" s="791"/>
      <c r="C121" s="791"/>
      <c r="D121" s="791"/>
      <c r="E121" s="791"/>
      <c r="F121" s="792">
        <f>G13</f>
        <v>0</v>
      </c>
      <c r="G121" s="792"/>
    </row>
  </sheetData>
  <mergeCells count="71">
    <mergeCell ref="A103:B103"/>
    <mergeCell ref="B91:H91"/>
    <mergeCell ref="J91:K92"/>
    <mergeCell ref="B92:H92"/>
    <mergeCell ref="A93:A94"/>
    <mergeCell ref="B93:B94"/>
    <mergeCell ref="C93:E93"/>
    <mergeCell ref="F93:H93"/>
    <mergeCell ref="J93:J94"/>
    <mergeCell ref="A58:B58"/>
    <mergeCell ref="B46:H46"/>
    <mergeCell ref="J46:K47"/>
    <mergeCell ref="B47:H47"/>
    <mergeCell ref="A48:A49"/>
    <mergeCell ref="B48:B49"/>
    <mergeCell ref="C48:E48"/>
    <mergeCell ref="F48:H48"/>
    <mergeCell ref="J48:J49"/>
    <mergeCell ref="A28:B28"/>
    <mergeCell ref="J31:K32"/>
    <mergeCell ref="B32:H32"/>
    <mergeCell ref="A33:A34"/>
    <mergeCell ref="B33:B34"/>
    <mergeCell ref="C33:E33"/>
    <mergeCell ref="F33:H33"/>
    <mergeCell ref="J33:J34"/>
    <mergeCell ref="J16:K17"/>
    <mergeCell ref="B17:H17"/>
    <mergeCell ref="A18:A19"/>
    <mergeCell ref="B18:B19"/>
    <mergeCell ref="C18:E18"/>
    <mergeCell ref="F18:H18"/>
    <mergeCell ref="J18:J19"/>
    <mergeCell ref="A13:B13"/>
    <mergeCell ref="A109:E109"/>
    <mergeCell ref="A111:E111"/>
    <mergeCell ref="A113:E113"/>
    <mergeCell ref="A115:E115"/>
    <mergeCell ref="A121:E121"/>
    <mergeCell ref="B31:H31"/>
    <mergeCell ref="A43:B43"/>
    <mergeCell ref="F121:G121"/>
    <mergeCell ref="B16:H16"/>
    <mergeCell ref="A1:K1"/>
    <mergeCell ref="A2:K2"/>
    <mergeCell ref="B3:H3"/>
    <mergeCell ref="J3:K4"/>
    <mergeCell ref="B4:H4"/>
    <mergeCell ref="A5:A6"/>
    <mergeCell ref="B5:B6"/>
    <mergeCell ref="C5:E5"/>
    <mergeCell ref="F5:H5"/>
    <mergeCell ref="J5:J6"/>
    <mergeCell ref="B61:H61"/>
    <mergeCell ref="J61:K62"/>
    <mergeCell ref="B62:H62"/>
    <mergeCell ref="A63:A64"/>
    <mergeCell ref="B63:B64"/>
    <mergeCell ref="C63:E63"/>
    <mergeCell ref="F63:H63"/>
    <mergeCell ref="J63:J64"/>
    <mergeCell ref="A88:B88"/>
    <mergeCell ref="A73:B73"/>
    <mergeCell ref="B76:H76"/>
    <mergeCell ref="J76:K77"/>
    <mergeCell ref="B77:H77"/>
    <mergeCell ref="A78:A79"/>
    <mergeCell ref="B78:B79"/>
    <mergeCell ref="C78:E78"/>
    <mergeCell ref="F78:H78"/>
    <mergeCell ref="J78:J79"/>
  </mergeCells>
  <pageMargins left="0.51181102362204722" right="0" top="0.15748031496062992" bottom="0" header="0.31496062992125984" footer="0.31496062992125984"/>
  <pageSetup orientation="portrait" horizontalDpi="120" verticalDpi="72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60342-E99D-465B-85C4-264C90980831}">
  <dimension ref="A1:O53"/>
  <sheetViews>
    <sheetView workbookViewId="0">
      <selection activeCell="L36" sqref="L36"/>
    </sheetView>
  </sheetViews>
  <sheetFormatPr defaultRowHeight="12.75" x14ac:dyDescent="0.2"/>
  <cols>
    <col min="1" max="1" width="9.140625" customWidth="1"/>
    <col min="2" max="2" width="8.42578125" style="123" customWidth="1"/>
    <col min="3" max="3" width="11.28515625" customWidth="1"/>
    <col min="5" max="5" width="12.5703125" customWidth="1"/>
    <col min="6" max="6" width="8.140625" customWidth="1"/>
    <col min="8" max="8" width="9.7109375" style="123" customWidth="1"/>
    <col min="9" max="9" width="8.5703125" customWidth="1"/>
    <col min="10" max="10" width="9.140625" style="71"/>
    <col min="11" max="11" width="8.85546875" style="71" customWidth="1"/>
    <col min="12" max="12" width="10.5703125" style="282" customWidth="1"/>
    <col min="13" max="13" width="9.140625" style="71"/>
  </cols>
  <sheetData>
    <row r="1" spans="1:15" ht="18" x14ac:dyDescent="0.25">
      <c r="A1" s="835" t="s">
        <v>232</v>
      </c>
      <c r="B1" s="835"/>
      <c r="C1" s="835"/>
      <c r="D1" s="835"/>
      <c r="E1" s="835"/>
      <c r="F1" s="835"/>
      <c r="G1" s="835"/>
      <c r="H1" s="835"/>
      <c r="I1" s="835"/>
      <c r="J1" s="835"/>
      <c r="K1" s="835"/>
      <c r="L1" s="835"/>
      <c r="N1" s="282"/>
      <c r="O1" s="71"/>
    </row>
    <row r="2" spans="1:15" ht="26.25" x14ac:dyDescent="0.2">
      <c r="A2" s="794" t="str">
        <f>GDSL!A2</f>
        <v>TAHUN 2026</v>
      </c>
      <c r="B2" s="794"/>
      <c r="C2" s="794"/>
      <c r="D2" s="794"/>
      <c r="E2" s="794"/>
      <c r="F2" s="794"/>
      <c r="G2" s="794"/>
      <c r="H2" s="794"/>
      <c r="I2" s="794"/>
      <c r="J2" s="794"/>
      <c r="K2" s="794"/>
      <c r="L2" s="71"/>
      <c r="N2" s="282"/>
      <c r="O2" s="71"/>
    </row>
    <row r="3" spans="1:15" ht="15" x14ac:dyDescent="0.25">
      <c r="A3" s="93" t="s">
        <v>0</v>
      </c>
      <c r="B3" s="832" t="s">
        <v>148</v>
      </c>
      <c r="C3" s="832"/>
      <c r="D3" s="832"/>
      <c r="E3" s="832"/>
      <c r="F3" s="832"/>
      <c r="G3" s="70" t="s">
        <v>11</v>
      </c>
      <c r="H3" s="851" t="s">
        <v>15</v>
      </c>
      <c r="I3" s="851"/>
      <c r="J3" s="569"/>
    </row>
    <row r="4" spans="1:15" ht="14.25" x14ac:dyDescent="0.2">
      <c r="A4" s="94" t="s">
        <v>1</v>
      </c>
      <c r="B4" s="850" t="s">
        <v>26</v>
      </c>
      <c r="C4" s="850"/>
      <c r="D4" s="850"/>
      <c r="E4" s="850"/>
      <c r="F4" s="850"/>
      <c r="G4" s="69">
        <v>250</v>
      </c>
      <c r="H4" s="851"/>
      <c r="I4" s="851"/>
    </row>
    <row r="5" spans="1:15" x14ac:dyDescent="0.2">
      <c r="A5" s="726" t="s">
        <v>3</v>
      </c>
      <c r="B5" s="834" t="s">
        <v>2</v>
      </c>
      <c r="C5" s="10" t="s">
        <v>19</v>
      </c>
      <c r="D5" s="10" t="s">
        <v>31</v>
      </c>
      <c r="E5" s="807" t="s">
        <v>24</v>
      </c>
      <c r="F5" s="846"/>
      <c r="G5" s="84" t="s">
        <v>12</v>
      </c>
      <c r="H5" s="726" t="s">
        <v>3</v>
      </c>
      <c r="I5" s="4" t="s">
        <v>13</v>
      </c>
    </row>
    <row r="6" spans="1:15" x14ac:dyDescent="0.2">
      <c r="A6" s="726"/>
      <c r="B6" s="834"/>
      <c r="C6" s="22" t="s">
        <v>149</v>
      </c>
      <c r="D6" s="4" t="s">
        <v>9</v>
      </c>
      <c r="E6" s="80" t="s">
        <v>32</v>
      </c>
      <c r="F6" s="67" t="s">
        <v>33</v>
      </c>
      <c r="G6" s="67" t="s">
        <v>33</v>
      </c>
      <c r="H6" s="726"/>
      <c r="I6" s="4" t="s">
        <v>14</v>
      </c>
    </row>
    <row r="7" spans="1:15" x14ac:dyDescent="0.2">
      <c r="A7" s="401" t="s">
        <v>182</v>
      </c>
      <c r="B7" s="402">
        <v>44866</v>
      </c>
      <c r="C7" s="477">
        <v>1683870</v>
      </c>
      <c r="D7" s="403">
        <v>5</v>
      </c>
      <c r="E7" s="4"/>
      <c r="F7" s="4"/>
      <c r="G7" s="12"/>
      <c r="H7" s="122"/>
      <c r="I7" s="4"/>
    </row>
    <row r="8" spans="1:15" x14ac:dyDescent="0.2">
      <c r="A8" s="431"/>
      <c r="B8" s="437"/>
      <c r="C8" s="6"/>
      <c r="D8" s="397">
        <f>(D$7*C8)</f>
        <v>0</v>
      </c>
      <c r="E8" s="8">
        <f>(C8*C$7)</f>
        <v>0</v>
      </c>
      <c r="F8" s="6">
        <f>C8</f>
        <v>0</v>
      </c>
      <c r="G8" s="21">
        <f>G4-F8</f>
        <v>250</v>
      </c>
      <c r="H8" s="122"/>
      <c r="I8" s="15">
        <f>H8-A8</f>
        <v>0</v>
      </c>
      <c r="J8" s="855"/>
      <c r="K8" s="856"/>
    </row>
    <row r="9" spans="1:15" x14ac:dyDescent="0.2">
      <c r="A9" s="431"/>
      <c r="B9" s="435"/>
      <c r="C9" s="33"/>
      <c r="D9" s="397">
        <f>(D$7*C9)</f>
        <v>0</v>
      </c>
      <c r="E9" s="8">
        <f>(C9*C$7)</f>
        <v>0</v>
      </c>
      <c r="F9" s="6">
        <f>C9</f>
        <v>0</v>
      </c>
      <c r="G9" s="21">
        <f>G8-F9</f>
        <v>250</v>
      </c>
      <c r="H9" s="122"/>
      <c r="I9" s="15">
        <f>H9-A9</f>
        <v>0</v>
      </c>
    </row>
    <row r="10" spans="1:15" x14ac:dyDescent="0.2">
      <c r="A10" s="431"/>
      <c r="B10" s="435"/>
      <c r="C10" s="33"/>
      <c r="D10" s="397">
        <f>(D$7*C10)</f>
        <v>0</v>
      </c>
      <c r="E10" s="8">
        <f>(C10*C$7)</f>
        <v>0</v>
      </c>
      <c r="F10" s="6">
        <f>C10</f>
        <v>0</v>
      </c>
      <c r="G10" s="21">
        <f>G9-F10</f>
        <v>250</v>
      </c>
      <c r="H10" s="122"/>
      <c r="I10" s="15">
        <f>H10-A10</f>
        <v>0</v>
      </c>
    </row>
    <row r="11" spans="1:15" x14ac:dyDescent="0.2">
      <c r="A11" s="431"/>
      <c r="B11" s="435"/>
      <c r="C11" s="33"/>
      <c r="D11" s="397">
        <f>(D$7*C11)</f>
        <v>0</v>
      </c>
      <c r="E11" s="8">
        <f>(C11*C$7)</f>
        <v>0</v>
      </c>
      <c r="F11" s="6">
        <f>C11</f>
        <v>0</v>
      </c>
      <c r="G11" s="21">
        <f>G10-F11</f>
        <v>250</v>
      </c>
      <c r="H11" s="122"/>
      <c r="I11" s="15">
        <f>H11-A11</f>
        <v>0</v>
      </c>
    </row>
    <row r="12" spans="1:15" x14ac:dyDescent="0.2">
      <c r="A12" s="431"/>
      <c r="B12" s="433"/>
      <c r="C12" s="33"/>
      <c r="D12" s="397">
        <f>(D$7*C12)</f>
        <v>0</v>
      </c>
      <c r="E12" s="8">
        <f>(C12*C$7)</f>
        <v>0</v>
      </c>
      <c r="F12" s="6">
        <f>C12</f>
        <v>0</v>
      </c>
      <c r="G12" s="589">
        <f>G11-F12</f>
        <v>250</v>
      </c>
      <c r="H12" s="122"/>
      <c r="I12" s="15">
        <f>H12-A12</f>
        <v>0</v>
      </c>
    </row>
    <row r="13" spans="1:15" x14ac:dyDescent="0.2">
      <c r="A13" s="731" t="s">
        <v>18</v>
      </c>
      <c r="B13" s="732"/>
      <c r="C13" s="272">
        <f>SUM(C8:C12)</f>
        <v>0</v>
      </c>
      <c r="D13" s="404">
        <f>SUM(D8:D12)</f>
        <v>0</v>
      </c>
      <c r="E13" s="79">
        <f>SUM(E8:E12)</f>
        <v>0</v>
      </c>
      <c r="F13" s="83">
        <f>SUM(F8:F12)</f>
        <v>0</v>
      </c>
      <c r="G13" s="63">
        <f>G4-F13</f>
        <v>250</v>
      </c>
      <c r="H13" s="121"/>
      <c r="I13" s="22"/>
    </row>
    <row r="14" spans="1:15" x14ac:dyDescent="0.2">
      <c r="A14" s="4"/>
      <c r="B14" s="121"/>
      <c r="C14" s="7"/>
      <c r="D14" s="8"/>
      <c r="E14" s="57" t="s">
        <v>46</v>
      </c>
      <c r="F14" s="51">
        <f>F13/G4%</f>
        <v>0</v>
      </c>
      <c r="G14" s="53">
        <f>G13/G4%</f>
        <v>100</v>
      </c>
      <c r="H14" s="121"/>
      <c r="I14" s="22"/>
    </row>
    <row r="16" spans="1:15" x14ac:dyDescent="0.2">
      <c r="A16" s="16"/>
      <c r="B16" s="125"/>
      <c r="C16" s="17"/>
      <c r="D16" s="18"/>
      <c r="E16" s="18"/>
      <c r="F16" s="17"/>
      <c r="G16" s="19"/>
      <c r="H16" s="125"/>
      <c r="I16" s="30"/>
    </row>
    <row r="17" spans="1:12" ht="15" x14ac:dyDescent="0.25">
      <c r="A17" s="93" t="s">
        <v>0</v>
      </c>
      <c r="B17" s="832" t="s">
        <v>148</v>
      </c>
      <c r="C17" s="832"/>
      <c r="D17" s="832"/>
      <c r="E17" s="832"/>
      <c r="F17" s="832"/>
      <c r="G17" s="70" t="s">
        <v>11</v>
      </c>
      <c r="H17" s="851" t="s">
        <v>15</v>
      </c>
      <c r="I17" s="851"/>
      <c r="J17" s="569"/>
    </row>
    <row r="18" spans="1:12" ht="14.25" x14ac:dyDescent="0.2">
      <c r="A18" s="94" t="s">
        <v>1</v>
      </c>
      <c r="B18" s="850" t="s">
        <v>216</v>
      </c>
      <c r="C18" s="850"/>
      <c r="D18" s="850"/>
      <c r="E18" s="850"/>
      <c r="F18" s="850"/>
      <c r="G18" s="69">
        <v>250</v>
      </c>
      <c r="H18" s="851"/>
      <c r="I18" s="851"/>
    </row>
    <row r="19" spans="1:12" x14ac:dyDescent="0.2">
      <c r="A19" s="726" t="s">
        <v>3</v>
      </c>
      <c r="B19" s="834" t="s">
        <v>2</v>
      </c>
      <c r="C19" s="10" t="s">
        <v>19</v>
      </c>
      <c r="D19" s="10" t="s">
        <v>31</v>
      </c>
      <c r="E19" s="807" t="s">
        <v>24</v>
      </c>
      <c r="F19" s="846"/>
      <c r="G19" s="84" t="s">
        <v>12</v>
      </c>
      <c r="H19" s="726" t="s">
        <v>3</v>
      </c>
      <c r="I19" s="4" t="s">
        <v>13</v>
      </c>
    </row>
    <row r="20" spans="1:12" x14ac:dyDescent="0.2">
      <c r="A20" s="726"/>
      <c r="B20" s="834"/>
      <c r="C20" s="22" t="s">
        <v>149</v>
      </c>
      <c r="D20" s="4" t="s">
        <v>9</v>
      </c>
      <c r="E20" s="80" t="s">
        <v>32</v>
      </c>
      <c r="F20" s="67" t="s">
        <v>33</v>
      </c>
      <c r="G20" s="67" t="s">
        <v>33</v>
      </c>
      <c r="H20" s="726"/>
      <c r="I20" s="4" t="s">
        <v>14</v>
      </c>
    </row>
    <row r="21" spans="1:12" x14ac:dyDescent="0.2">
      <c r="A21" s="401" t="s">
        <v>182</v>
      </c>
      <c r="B21" s="402">
        <v>44866</v>
      </c>
      <c r="C21" s="477">
        <v>1683870</v>
      </c>
      <c r="D21" s="403">
        <v>5</v>
      </c>
      <c r="E21" s="4"/>
      <c r="F21" s="4"/>
      <c r="G21" s="12"/>
      <c r="H21" s="122"/>
      <c r="I21" s="4"/>
    </row>
    <row r="22" spans="1:12" x14ac:dyDescent="0.2">
      <c r="A22" s="431"/>
      <c r="B22" s="435"/>
      <c r="C22" s="6"/>
      <c r="D22" s="397">
        <f>(D$21*C22)</f>
        <v>0</v>
      </c>
      <c r="E22" s="8">
        <f>(C22*C$21)</f>
        <v>0</v>
      </c>
      <c r="F22" s="6">
        <f>C22</f>
        <v>0</v>
      </c>
      <c r="G22" s="9">
        <f>G18-F22</f>
        <v>250</v>
      </c>
      <c r="H22" s="122"/>
      <c r="I22" s="15">
        <f>H22-A22</f>
        <v>0</v>
      </c>
    </row>
    <row r="23" spans="1:12" x14ac:dyDescent="0.2">
      <c r="A23" s="431"/>
      <c r="B23" s="435"/>
      <c r="C23" s="6"/>
      <c r="D23" s="397">
        <f>(D$21*C23)</f>
        <v>0</v>
      </c>
      <c r="E23" s="8">
        <f>(C23*C$21)</f>
        <v>0</v>
      </c>
      <c r="F23" s="6">
        <f>C23</f>
        <v>0</v>
      </c>
      <c r="G23" s="9">
        <f>G22-F23</f>
        <v>250</v>
      </c>
      <c r="H23" s="122"/>
      <c r="I23" s="15">
        <f>H23-A23</f>
        <v>0</v>
      </c>
    </row>
    <row r="24" spans="1:12" x14ac:dyDescent="0.2">
      <c r="A24" s="431"/>
      <c r="B24" s="435"/>
      <c r="C24" s="6"/>
      <c r="D24" s="397">
        <f>(D$21*C24)</f>
        <v>0</v>
      </c>
      <c r="E24" s="8">
        <f>(C24*C$21)</f>
        <v>0</v>
      </c>
      <c r="F24" s="6">
        <f>C24</f>
        <v>0</v>
      </c>
      <c r="G24" s="9">
        <f>G23-F24</f>
        <v>250</v>
      </c>
      <c r="H24" s="122"/>
      <c r="I24" s="15">
        <f>H24-A24</f>
        <v>0</v>
      </c>
    </row>
    <row r="25" spans="1:12" x14ac:dyDescent="0.2">
      <c r="A25" s="431"/>
      <c r="B25" s="435"/>
      <c r="C25" s="6"/>
      <c r="D25" s="397">
        <f>(D$21*C25)</f>
        <v>0</v>
      </c>
      <c r="E25" s="8">
        <f>(C25*C$21)</f>
        <v>0</v>
      </c>
      <c r="F25" s="6">
        <f>C25</f>
        <v>0</v>
      </c>
      <c r="G25" s="13">
        <f>G24-F25</f>
        <v>250</v>
      </c>
      <c r="H25" s="122"/>
      <c r="I25" s="15">
        <f>H25-A25</f>
        <v>0</v>
      </c>
    </row>
    <row r="26" spans="1:12" x14ac:dyDescent="0.2">
      <c r="A26" s="731" t="s">
        <v>18</v>
      </c>
      <c r="B26" s="732"/>
      <c r="C26" s="272">
        <f>SUM(C22:C25)</f>
        <v>0</v>
      </c>
      <c r="D26" s="525">
        <f>SUM(D22:D25)</f>
        <v>0</v>
      </c>
      <c r="E26" s="79">
        <f>SUM(E22:E25)</f>
        <v>0</v>
      </c>
      <c r="F26" s="83">
        <f>SUM(F22:F25)</f>
        <v>0</v>
      </c>
      <c r="G26" s="49">
        <f>G18-F26</f>
        <v>250</v>
      </c>
      <c r="H26" s="121"/>
      <c r="I26" s="22"/>
    </row>
    <row r="27" spans="1:12" x14ac:dyDescent="0.2">
      <c r="A27" s="4"/>
      <c r="B27" s="121"/>
      <c r="C27" s="7"/>
      <c r="D27" s="8"/>
      <c r="E27" s="57" t="s">
        <v>46</v>
      </c>
      <c r="F27" s="51">
        <f>F26/G18%</f>
        <v>0</v>
      </c>
      <c r="G27" s="53">
        <f>G26/G18%</f>
        <v>100</v>
      </c>
      <c r="H27" s="121"/>
      <c r="I27" s="22"/>
    </row>
    <row r="28" spans="1:12" x14ac:dyDescent="0.2">
      <c r="A28" s="16"/>
      <c r="B28" s="125"/>
      <c r="C28" s="17"/>
      <c r="D28" s="18"/>
      <c r="E28" s="18"/>
      <c r="F28" s="17"/>
      <c r="G28" s="19"/>
      <c r="H28" s="125"/>
      <c r="I28" s="30"/>
    </row>
    <row r="29" spans="1:12" ht="15" x14ac:dyDescent="0.25">
      <c r="A29" s="93" t="s">
        <v>0</v>
      </c>
      <c r="B29" s="832" t="s">
        <v>148</v>
      </c>
      <c r="C29" s="832"/>
      <c r="D29" s="832"/>
      <c r="E29" s="832"/>
      <c r="F29" s="832"/>
      <c r="G29" s="70" t="s">
        <v>11</v>
      </c>
      <c r="H29" s="851" t="s">
        <v>15</v>
      </c>
      <c r="I29" s="851"/>
    </row>
    <row r="30" spans="1:12" ht="14.25" x14ac:dyDescent="0.2">
      <c r="A30" s="94" t="s">
        <v>1</v>
      </c>
      <c r="B30" s="850" t="s">
        <v>262</v>
      </c>
      <c r="C30" s="850"/>
      <c r="D30" s="850"/>
      <c r="E30" s="850"/>
      <c r="F30" s="850"/>
      <c r="G30" s="69">
        <v>50</v>
      </c>
      <c r="H30" s="851"/>
      <c r="I30" s="851"/>
      <c r="J30" s="882" t="s">
        <v>267</v>
      </c>
      <c r="K30" s="882"/>
      <c r="L30" s="882"/>
    </row>
    <row r="31" spans="1:12" x14ac:dyDescent="0.2">
      <c r="A31" s="726" t="s">
        <v>3</v>
      </c>
      <c r="B31" s="834" t="s">
        <v>2</v>
      </c>
      <c r="C31" s="10" t="s">
        <v>19</v>
      </c>
      <c r="D31" s="10" t="s">
        <v>31</v>
      </c>
      <c r="E31" s="807" t="s">
        <v>24</v>
      </c>
      <c r="F31" s="846"/>
      <c r="G31" s="84" t="s">
        <v>12</v>
      </c>
      <c r="H31" s="726" t="s">
        <v>3</v>
      </c>
      <c r="I31" s="4" t="s">
        <v>13</v>
      </c>
      <c r="J31" s="878" t="s">
        <v>266</v>
      </c>
      <c r="K31" s="879"/>
      <c r="L31" s="880"/>
    </row>
    <row r="32" spans="1:12" x14ac:dyDescent="0.2">
      <c r="A32" s="726"/>
      <c r="B32" s="834"/>
      <c r="C32" s="22" t="s">
        <v>149</v>
      </c>
      <c r="D32" s="4" t="s">
        <v>9</v>
      </c>
      <c r="E32" s="80" t="s">
        <v>32</v>
      </c>
      <c r="F32" s="67" t="s">
        <v>33</v>
      </c>
      <c r="G32" s="67" t="s">
        <v>33</v>
      </c>
      <c r="H32" s="726"/>
      <c r="I32" s="4" t="s">
        <v>14</v>
      </c>
      <c r="J32" s="881" t="s">
        <v>268</v>
      </c>
      <c r="K32" s="881"/>
      <c r="L32" s="881"/>
    </row>
    <row r="33" spans="1:10" x14ac:dyDescent="0.2">
      <c r="A33" s="401" t="s">
        <v>182</v>
      </c>
      <c r="B33" s="402">
        <v>44866</v>
      </c>
      <c r="C33" s="477">
        <v>1683870</v>
      </c>
      <c r="D33" s="403">
        <v>5</v>
      </c>
      <c r="E33" s="4"/>
      <c r="F33" s="4"/>
      <c r="G33" s="12"/>
      <c r="H33" s="122"/>
      <c r="I33" s="4"/>
    </row>
    <row r="34" spans="1:10" x14ac:dyDescent="0.2">
      <c r="A34" s="431"/>
      <c r="B34" s="435"/>
      <c r="C34" s="6"/>
      <c r="D34" s="397">
        <f>(D$21*C34)</f>
        <v>0</v>
      </c>
      <c r="E34" s="8">
        <f>(C34*C$33)</f>
        <v>0</v>
      </c>
      <c r="F34" s="6">
        <f>C34</f>
        <v>0</v>
      </c>
      <c r="G34" s="9">
        <f>G30-F34</f>
        <v>50</v>
      </c>
      <c r="H34" s="122"/>
      <c r="I34" s="15">
        <f>H34-A34</f>
        <v>0</v>
      </c>
    </row>
    <row r="35" spans="1:10" x14ac:dyDescent="0.2">
      <c r="A35" s="431"/>
      <c r="B35" s="435"/>
      <c r="C35" s="6"/>
      <c r="D35" s="397">
        <f>(D$21*C35)</f>
        <v>0</v>
      </c>
      <c r="E35" s="8">
        <f>(C35*C$33)</f>
        <v>0</v>
      </c>
      <c r="F35" s="6">
        <f>C35</f>
        <v>0</v>
      </c>
      <c r="G35" s="9">
        <f>G34-F35</f>
        <v>50</v>
      </c>
      <c r="H35" s="122"/>
      <c r="I35" s="15">
        <f>H35-A35</f>
        <v>0</v>
      </c>
    </row>
    <row r="36" spans="1:10" x14ac:dyDescent="0.2">
      <c r="A36" s="431"/>
      <c r="B36" s="435"/>
      <c r="C36" s="6"/>
      <c r="D36" s="397">
        <f>(D$21*C36)</f>
        <v>0</v>
      </c>
      <c r="E36" s="8">
        <f>(C36*C$33)</f>
        <v>0</v>
      </c>
      <c r="F36" s="6">
        <f>C36</f>
        <v>0</v>
      </c>
      <c r="G36" s="9">
        <f>G35-F36</f>
        <v>50</v>
      </c>
      <c r="H36" s="122"/>
      <c r="I36" s="15">
        <f>H36-A36</f>
        <v>0</v>
      </c>
    </row>
    <row r="37" spans="1:10" x14ac:dyDescent="0.2">
      <c r="A37" s="431"/>
      <c r="B37" s="435"/>
      <c r="C37" s="6"/>
      <c r="D37" s="397">
        <f>(D$21*C37)</f>
        <v>0</v>
      </c>
      <c r="E37" s="8">
        <f>(C37*C$33)</f>
        <v>0</v>
      </c>
      <c r="F37" s="6">
        <f>C37</f>
        <v>0</v>
      </c>
      <c r="G37" s="13">
        <f>G36-F37</f>
        <v>50</v>
      </c>
      <c r="H37" s="122"/>
      <c r="I37" s="15">
        <f>H37-A37</f>
        <v>0</v>
      </c>
    </row>
    <row r="38" spans="1:10" x14ac:dyDescent="0.2">
      <c r="A38" s="731" t="s">
        <v>18</v>
      </c>
      <c r="B38" s="732"/>
      <c r="C38" s="272">
        <f>SUM(C34:C37)</f>
        <v>0</v>
      </c>
      <c r="D38" s="525">
        <f>SUM(D34:D37)</f>
        <v>0</v>
      </c>
      <c r="E38" s="79">
        <f>SUM(E34:E37)</f>
        <v>0</v>
      </c>
      <c r="F38" s="83">
        <f>SUM(F34:F37)</f>
        <v>0</v>
      </c>
      <c r="G38" s="49">
        <f>G30-F38</f>
        <v>50</v>
      </c>
      <c r="H38" s="121"/>
      <c r="I38" s="22"/>
    </row>
    <row r="39" spans="1:10" x14ac:dyDescent="0.2">
      <c r="A39" s="4"/>
      <c r="B39" s="121"/>
      <c r="C39" s="7"/>
      <c r="D39" s="8"/>
      <c r="E39" s="57" t="s">
        <v>46</v>
      </c>
      <c r="F39" s="51">
        <f>F38/G30%</f>
        <v>0</v>
      </c>
      <c r="G39" s="53">
        <f>G38/G30%</f>
        <v>100</v>
      </c>
      <c r="H39" s="121"/>
      <c r="I39" s="22"/>
    </row>
    <row r="40" spans="1:10" x14ac:dyDescent="0.2">
      <c r="A40" s="16"/>
      <c r="B40" s="125"/>
      <c r="C40" s="17"/>
      <c r="D40" s="18"/>
      <c r="E40" s="18"/>
      <c r="F40" s="17"/>
      <c r="G40" s="19"/>
      <c r="H40" s="125"/>
      <c r="I40" s="30"/>
    </row>
    <row r="41" spans="1:10" x14ac:dyDescent="0.2">
      <c r="A41" s="789" t="s">
        <v>151</v>
      </c>
      <c r="B41" s="789"/>
      <c r="C41" s="789"/>
      <c r="D41" s="789"/>
      <c r="E41" s="789"/>
      <c r="F41" s="59">
        <f>G30+G18+G4</f>
        <v>550</v>
      </c>
    </row>
    <row r="42" spans="1:10" x14ac:dyDescent="0.2">
      <c r="F42" s="32"/>
    </row>
    <row r="43" spans="1:10" x14ac:dyDescent="0.2">
      <c r="A43" s="784" t="s">
        <v>52</v>
      </c>
      <c r="B43" s="784"/>
      <c r="C43" s="784"/>
      <c r="D43" s="784"/>
      <c r="E43" s="784"/>
      <c r="F43" s="78">
        <f>F38+F26+F13</f>
        <v>0</v>
      </c>
    </row>
    <row r="44" spans="1:10" x14ac:dyDescent="0.2">
      <c r="F44" s="32"/>
      <c r="H44"/>
      <c r="I44" s="434"/>
      <c r="J44" s="439"/>
    </row>
    <row r="45" spans="1:10" x14ac:dyDescent="0.2">
      <c r="A45" s="830" t="s">
        <v>113</v>
      </c>
      <c r="B45" s="830"/>
      <c r="C45" s="830"/>
      <c r="D45" s="830"/>
      <c r="E45" s="830"/>
      <c r="F45" s="60">
        <f>F41-F43</f>
        <v>550</v>
      </c>
      <c r="H45"/>
      <c r="I45" s="434"/>
      <c r="J45" s="439"/>
    </row>
    <row r="46" spans="1:10" x14ac:dyDescent="0.2">
      <c r="F46" s="32"/>
      <c r="H46"/>
    </row>
    <row r="47" spans="1:10" x14ac:dyDescent="0.2">
      <c r="A47" s="748" t="s">
        <v>50</v>
      </c>
      <c r="B47" s="748"/>
      <c r="C47" s="748"/>
      <c r="D47" s="748"/>
      <c r="E47" s="748"/>
      <c r="F47" s="61">
        <f>F43/F41%</f>
        <v>0</v>
      </c>
      <c r="H47"/>
    </row>
    <row r="48" spans="1:10" x14ac:dyDescent="0.2">
      <c r="A48" s="73"/>
      <c r="B48" s="127"/>
      <c r="C48" s="73"/>
      <c r="D48" s="73"/>
      <c r="E48" s="73"/>
      <c r="F48" s="66"/>
      <c r="H48"/>
    </row>
    <row r="49" spans="1:8" x14ac:dyDescent="0.2">
      <c r="A49" s="68" t="s">
        <v>51</v>
      </c>
      <c r="B49" s="128"/>
      <c r="C49" s="68"/>
      <c r="D49" s="68"/>
      <c r="E49" s="68"/>
      <c r="F49" s="61">
        <f>F45/F41%</f>
        <v>100</v>
      </c>
      <c r="H49"/>
    </row>
    <row r="51" spans="1:8" x14ac:dyDescent="0.2">
      <c r="A51" s="75" t="s">
        <v>54</v>
      </c>
      <c r="B51" s="133"/>
      <c r="C51" s="75"/>
      <c r="D51" s="75"/>
      <c r="E51" s="72"/>
      <c r="F51" s="76">
        <f>D38+D26+D13</f>
        <v>0</v>
      </c>
      <c r="H51"/>
    </row>
    <row r="53" spans="1:8" x14ac:dyDescent="0.2">
      <c r="A53" s="791" t="s">
        <v>57</v>
      </c>
      <c r="B53" s="791"/>
      <c r="C53" s="791"/>
      <c r="D53" s="791"/>
      <c r="E53" s="791"/>
      <c r="F53" s="792">
        <f>E38+E26+E13</f>
        <v>0</v>
      </c>
      <c r="G53" s="792"/>
      <c r="H53"/>
    </row>
  </sheetData>
  <mergeCells count="36">
    <mergeCell ref="J8:K8"/>
    <mergeCell ref="A1:L1"/>
    <mergeCell ref="A2:K2"/>
    <mergeCell ref="A5:A6"/>
    <mergeCell ref="B5:B6"/>
    <mergeCell ref="B3:F3"/>
    <mergeCell ref="B4:F4"/>
    <mergeCell ref="H3:I4"/>
    <mergeCell ref="H5:H6"/>
    <mergeCell ref="H19:H20"/>
    <mergeCell ref="H17:I18"/>
    <mergeCell ref="B18:F18"/>
    <mergeCell ref="A13:B13"/>
    <mergeCell ref="E5:F5"/>
    <mergeCell ref="B19:B20"/>
    <mergeCell ref="A19:A20"/>
    <mergeCell ref="B17:F17"/>
    <mergeCell ref="E19:F19"/>
    <mergeCell ref="A53:E53"/>
    <mergeCell ref="F53:G53"/>
    <mergeCell ref="A41:E41"/>
    <mergeCell ref="A43:E43"/>
    <mergeCell ref="A26:B26"/>
    <mergeCell ref="A47:E47"/>
    <mergeCell ref="A45:E45"/>
    <mergeCell ref="B29:F29"/>
    <mergeCell ref="A38:B38"/>
    <mergeCell ref="J31:L31"/>
    <mergeCell ref="H29:I30"/>
    <mergeCell ref="B30:F30"/>
    <mergeCell ref="A31:A32"/>
    <mergeCell ref="B31:B32"/>
    <mergeCell ref="E31:F31"/>
    <mergeCell ref="H31:H32"/>
    <mergeCell ref="J32:L32"/>
    <mergeCell ref="J30:L30"/>
  </mergeCells>
  <pageMargins left="0.55118110236220474" right="0" top="0.35433070866141736" bottom="0" header="0.31496062992125984" footer="0.31496062992125984"/>
  <pageSetup orientation="portrait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E0C17-3C2A-4A72-BD27-17FFE964DEA3}">
  <dimension ref="A1:O171"/>
  <sheetViews>
    <sheetView topLeftCell="A79" workbookViewId="0">
      <selection activeCell="E99" sqref="E99"/>
    </sheetView>
  </sheetViews>
  <sheetFormatPr defaultRowHeight="12.75" x14ac:dyDescent="0.2"/>
  <cols>
    <col min="1" max="1" width="4.85546875" style="298" customWidth="1"/>
    <col min="2" max="2" width="16.7109375" style="159" customWidth="1"/>
    <col min="3" max="3" width="5" style="298" customWidth="1"/>
    <col min="4" max="4" width="17" style="307" customWidth="1"/>
    <col min="5" max="5" width="11.42578125" style="34" customWidth="1"/>
    <col min="6" max="6" width="7" style="34" customWidth="1"/>
    <col min="7" max="7" width="6.7109375" style="34" customWidth="1"/>
    <col min="8" max="8" width="11" style="34" customWidth="1"/>
    <col min="9" max="9" width="7.28515625" style="34" customWidth="1"/>
    <col min="10" max="10" width="7.85546875" style="34" customWidth="1"/>
    <col min="11" max="11" width="14.5703125" style="34" customWidth="1"/>
    <col min="12" max="12" width="9.140625" style="71"/>
    <col min="13" max="13" width="12.28515625" customWidth="1"/>
    <col min="14" max="14" width="9.140625" customWidth="1"/>
  </cols>
  <sheetData>
    <row r="1" spans="1:14" s="104" customFormat="1" ht="18" x14ac:dyDescent="0.25">
      <c r="A1" s="907" t="s">
        <v>94</v>
      </c>
      <c r="B1" s="907"/>
      <c r="C1" s="907"/>
      <c r="D1" s="907"/>
      <c r="E1" s="907"/>
      <c r="F1" s="907"/>
      <c r="G1" s="907"/>
      <c r="H1" s="907"/>
      <c r="I1" s="907"/>
      <c r="J1" s="907"/>
      <c r="K1" s="907"/>
      <c r="L1" s="372"/>
      <c r="M1" s="103"/>
      <c r="N1" s="103"/>
    </row>
    <row r="2" spans="1:14" ht="18.600000000000001" customHeight="1" x14ac:dyDescent="0.2">
      <c r="A2" s="908" t="s">
        <v>285</v>
      </c>
      <c r="B2" s="908"/>
      <c r="C2" s="908"/>
      <c r="D2" s="908"/>
      <c r="E2" s="908"/>
      <c r="F2" s="908"/>
      <c r="G2" s="908"/>
      <c r="H2" s="908"/>
      <c r="I2" s="908"/>
      <c r="J2" s="908"/>
      <c r="K2" s="908"/>
    </row>
    <row r="3" spans="1:14" s="102" customFormat="1" ht="15" x14ac:dyDescent="0.2">
      <c r="A3" s="910" t="s">
        <v>59</v>
      </c>
      <c r="B3" s="910" t="s">
        <v>92</v>
      </c>
      <c r="C3" s="296" t="s">
        <v>60</v>
      </c>
      <c r="D3" s="909" t="s">
        <v>61</v>
      </c>
      <c r="E3" s="230" t="s">
        <v>120</v>
      </c>
      <c r="F3" s="231" t="s">
        <v>11</v>
      </c>
      <c r="G3" s="881" t="s">
        <v>75</v>
      </c>
      <c r="H3" s="881"/>
      <c r="I3" s="232" t="s">
        <v>76</v>
      </c>
      <c r="J3" s="233" t="s">
        <v>77</v>
      </c>
      <c r="K3" s="228" t="s">
        <v>10</v>
      </c>
      <c r="L3" s="294"/>
    </row>
    <row r="4" spans="1:14" s="102" customFormat="1" ht="15" x14ac:dyDescent="0.2">
      <c r="A4" s="910"/>
      <c r="B4" s="910"/>
      <c r="C4" s="296" t="s">
        <v>129</v>
      </c>
      <c r="D4" s="909"/>
      <c r="E4" s="230" t="s">
        <v>1</v>
      </c>
      <c r="F4" s="231" t="s">
        <v>78</v>
      </c>
      <c r="G4" s="228" t="s">
        <v>23</v>
      </c>
      <c r="H4" s="228" t="s">
        <v>9</v>
      </c>
      <c r="I4" s="228" t="s">
        <v>23</v>
      </c>
      <c r="J4" s="233" t="s">
        <v>64</v>
      </c>
      <c r="K4" s="228" t="s">
        <v>91</v>
      </c>
      <c r="L4" s="294"/>
    </row>
    <row r="5" spans="1:14" s="102" customFormat="1" ht="15" x14ac:dyDescent="0.2">
      <c r="A5" s="170">
        <v>1</v>
      </c>
      <c r="B5" s="160" t="s">
        <v>93</v>
      </c>
      <c r="C5" s="173">
        <v>1</v>
      </c>
      <c r="D5" s="301" t="s">
        <v>96</v>
      </c>
      <c r="E5" s="153" t="s">
        <v>97</v>
      </c>
      <c r="F5" s="136">
        <f>Gdpn!I4</f>
        <v>160</v>
      </c>
      <c r="G5" s="136">
        <f>Gdpn!H13</f>
        <v>0</v>
      </c>
      <c r="H5" s="529">
        <f>Gdpn!F13</f>
        <v>0</v>
      </c>
      <c r="I5" s="163">
        <f>G5-F5</f>
        <v>-160</v>
      </c>
      <c r="J5" s="138">
        <f>G5/F5%</f>
        <v>0</v>
      </c>
      <c r="K5" s="136">
        <f>Gdpn!G13</f>
        <v>0</v>
      </c>
      <c r="L5" s="586"/>
    </row>
    <row r="6" spans="1:14" s="102" customFormat="1" ht="15" x14ac:dyDescent="0.2">
      <c r="A6" s="94">
        <v>4</v>
      </c>
      <c r="B6" s="160" t="s">
        <v>93</v>
      </c>
      <c r="C6" s="173">
        <v>2</v>
      </c>
      <c r="D6" s="302" t="s">
        <v>210</v>
      </c>
      <c r="E6" s="149" t="s">
        <v>103</v>
      </c>
      <c r="F6" s="136">
        <f>Gdpn!I31</f>
        <v>350</v>
      </c>
      <c r="G6" s="161">
        <f>Gdpn!H45</f>
        <v>49</v>
      </c>
      <c r="H6" s="529">
        <f>Gdpn!F45</f>
        <v>490</v>
      </c>
      <c r="I6" s="139">
        <f>G6-F6</f>
        <v>-301</v>
      </c>
      <c r="J6" s="138">
        <f>G6/F6%</f>
        <v>14</v>
      </c>
      <c r="K6" s="115">
        <f>Gdpn!G45</f>
        <v>53768400</v>
      </c>
      <c r="L6" s="586"/>
    </row>
    <row r="7" spans="1:14" s="102" customFormat="1" ht="15" x14ac:dyDescent="0.2">
      <c r="A7" s="94">
        <v>5</v>
      </c>
      <c r="B7" s="160" t="s">
        <v>93</v>
      </c>
      <c r="C7" s="173">
        <v>3</v>
      </c>
      <c r="D7" s="302" t="s">
        <v>99</v>
      </c>
      <c r="E7" s="149" t="s">
        <v>100</v>
      </c>
      <c r="F7" s="136">
        <f>Gdpn!I49</f>
        <v>50</v>
      </c>
      <c r="G7" s="161">
        <f>Gdpn!H56</f>
        <v>0</v>
      </c>
      <c r="H7" s="529">
        <f>Gdpn!F56</f>
        <v>0</v>
      </c>
      <c r="I7" s="139">
        <f>G7-F7</f>
        <v>-50</v>
      </c>
      <c r="J7" s="138">
        <f>G7/F7%</f>
        <v>0</v>
      </c>
      <c r="K7" s="115">
        <f>Gdpn!G56</f>
        <v>0</v>
      </c>
      <c r="L7" s="586"/>
    </row>
    <row r="8" spans="1:14" s="102" customFormat="1" ht="15" x14ac:dyDescent="0.2">
      <c r="A8" s="94"/>
      <c r="B8" s="93"/>
      <c r="C8" s="94"/>
      <c r="D8" s="302"/>
      <c r="E8" s="224" t="s">
        <v>34</v>
      </c>
      <c r="F8" s="225">
        <f>SUM(F5:F7)</f>
        <v>560</v>
      </c>
      <c r="G8" s="225">
        <f>SUM(G5:G7)</f>
        <v>49</v>
      </c>
      <c r="H8" s="229">
        <f>SUM(H5:H7)</f>
        <v>490</v>
      </c>
      <c r="I8" s="226">
        <f>SUM(I5:I7)</f>
        <v>-511</v>
      </c>
      <c r="J8" s="259">
        <f>G8/F8%</f>
        <v>8.75</v>
      </c>
      <c r="K8" s="227">
        <f>SUM(K5:K7)</f>
        <v>53768400</v>
      </c>
      <c r="L8" s="294"/>
    </row>
    <row r="9" spans="1:14" s="102" customFormat="1" ht="15" x14ac:dyDescent="0.2">
      <c r="A9" s="174"/>
      <c r="B9" s="157"/>
      <c r="C9" s="174"/>
      <c r="D9" s="303"/>
      <c r="E9" s="154"/>
      <c r="F9" s="162"/>
      <c r="G9" s="162"/>
      <c r="H9" s="162"/>
      <c r="I9" s="166"/>
      <c r="J9" s="54"/>
      <c r="K9" s="35"/>
      <c r="L9" s="294"/>
    </row>
    <row r="10" spans="1:14" s="102" customFormat="1" ht="15" x14ac:dyDescent="0.2">
      <c r="A10" s="174"/>
      <c r="B10" s="271"/>
      <c r="C10" s="174"/>
      <c r="D10" s="304"/>
      <c r="E10" s="271"/>
      <c r="F10" s="271"/>
      <c r="G10" s="271"/>
      <c r="H10" s="271"/>
      <c r="I10" s="271"/>
      <c r="J10" s="271"/>
      <c r="K10" s="271"/>
      <c r="L10" s="285"/>
    </row>
    <row r="11" spans="1:14" s="102" customFormat="1" ht="15" x14ac:dyDescent="0.2">
      <c r="A11" s="903" t="s">
        <v>59</v>
      </c>
      <c r="B11" s="903" t="s">
        <v>92</v>
      </c>
      <c r="C11" s="381" t="s">
        <v>60</v>
      </c>
      <c r="D11" s="913" t="s">
        <v>61</v>
      </c>
      <c r="E11" s="381" t="s">
        <v>120</v>
      </c>
      <c r="F11" s="382" t="s">
        <v>11</v>
      </c>
      <c r="G11" s="912" t="s">
        <v>75</v>
      </c>
      <c r="H11" s="912"/>
      <c r="I11" s="383" t="s">
        <v>76</v>
      </c>
      <c r="J11" s="384" t="s">
        <v>77</v>
      </c>
      <c r="K11" s="385" t="s">
        <v>10</v>
      </c>
      <c r="L11" s="294"/>
    </row>
    <row r="12" spans="1:14" s="102" customFormat="1" ht="15" x14ac:dyDescent="0.2">
      <c r="A12" s="903"/>
      <c r="B12" s="903"/>
      <c r="C12" s="381" t="s">
        <v>129</v>
      </c>
      <c r="D12" s="913"/>
      <c r="E12" s="381" t="s">
        <v>1</v>
      </c>
      <c r="F12" s="382" t="s">
        <v>78</v>
      </c>
      <c r="G12" s="385" t="s">
        <v>23</v>
      </c>
      <c r="H12" s="385" t="s">
        <v>9</v>
      </c>
      <c r="I12" s="385" t="s">
        <v>23</v>
      </c>
      <c r="J12" s="384" t="s">
        <v>64</v>
      </c>
      <c r="K12" s="385" t="s">
        <v>91</v>
      </c>
      <c r="L12" s="294"/>
    </row>
    <row r="13" spans="1:14" s="102" customFormat="1" ht="15" x14ac:dyDescent="0.2">
      <c r="A13" s="94">
        <v>1</v>
      </c>
      <c r="B13" s="155" t="s">
        <v>148</v>
      </c>
      <c r="C13" s="94">
        <v>1</v>
      </c>
      <c r="D13" s="301" t="s">
        <v>96</v>
      </c>
      <c r="E13" s="149" t="s">
        <v>97</v>
      </c>
      <c r="F13" s="136">
        <f>Zn!G4</f>
        <v>250</v>
      </c>
      <c r="G13" s="161">
        <f>Zn!F13</f>
        <v>0</v>
      </c>
      <c r="H13" s="167">
        <f>Zn!D13</f>
        <v>0</v>
      </c>
      <c r="I13" s="168">
        <f>G13-F13</f>
        <v>-250</v>
      </c>
      <c r="J13" s="165">
        <f>G13/F13%</f>
        <v>0</v>
      </c>
      <c r="K13" s="115">
        <f>Zn!E13</f>
        <v>0</v>
      </c>
      <c r="L13" s="586"/>
    </row>
    <row r="14" spans="1:14" s="102" customFormat="1" ht="15" x14ac:dyDescent="0.2">
      <c r="A14" s="94">
        <v>4</v>
      </c>
      <c r="B14" s="155" t="s">
        <v>148</v>
      </c>
      <c r="C14" s="94">
        <v>2</v>
      </c>
      <c r="D14" s="302" t="s">
        <v>153</v>
      </c>
      <c r="E14" s="149" t="s">
        <v>103</v>
      </c>
      <c r="F14" s="136">
        <f>Zn!G18</f>
        <v>250</v>
      </c>
      <c r="G14" s="161">
        <f>Zn!F26</f>
        <v>0</v>
      </c>
      <c r="H14" s="167">
        <f>Zn!D26</f>
        <v>0</v>
      </c>
      <c r="I14" s="168">
        <f>G14-F14</f>
        <v>-250</v>
      </c>
      <c r="J14" s="165">
        <f>G14/F14%</f>
        <v>0</v>
      </c>
      <c r="K14" s="161">
        <f>Zn!E26</f>
        <v>0</v>
      </c>
      <c r="L14" s="586"/>
    </row>
    <row r="15" spans="1:14" s="102" customFormat="1" ht="15" x14ac:dyDescent="0.2">
      <c r="A15" s="94"/>
      <c r="B15" s="93"/>
      <c r="C15" s="94"/>
      <c r="D15" s="302"/>
      <c r="E15" s="224" t="s">
        <v>34</v>
      </c>
      <c r="F15" s="225">
        <f>SUM(F13:F14)</f>
        <v>500</v>
      </c>
      <c r="G15" s="225">
        <f>SUM(G13:G14)</f>
        <v>0</v>
      </c>
      <c r="H15" s="229">
        <f>SUM(H13:H14)</f>
        <v>0</v>
      </c>
      <c r="I15" s="226">
        <f>SUM(I13:I14)</f>
        <v>-500</v>
      </c>
      <c r="J15" s="239">
        <f>G15/F15%</f>
        <v>0</v>
      </c>
      <c r="K15" s="225">
        <f>SUM(K13:K14)</f>
        <v>0</v>
      </c>
      <c r="L15" s="294"/>
    </row>
    <row r="16" spans="1:14" s="102" customFormat="1" ht="15" x14ac:dyDescent="0.2">
      <c r="A16" s="174"/>
      <c r="B16" s="271"/>
      <c r="C16" s="174"/>
      <c r="D16" s="304"/>
      <c r="E16" s="271"/>
      <c r="F16" s="271"/>
      <c r="G16" s="271"/>
      <c r="H16" s="271"/>
      <c r="I16" s="271"/>
      <c r="J16" s="271"/>
      <c r="K16" s="271"/>
      <c r="L16" s="285"/>
    </row>
    <row r="17" spans="1:14" s="102" customFormat="1" ht="15" x14ac:dyDescent="0.2">
      <c r="A17" s="174"/>
      <c r="B17" s="157"/>
      <c r="C17" s="174"/>
      <c r="D17" s="303"/>
      <c r="E17" s="151"/>
      <c r="F17" s="151"/>
      <c r="G17" s="151"/>
      <c r="H17" s="151"/>
      <c r="I17" s="151"/>
      <c r="J17" s="151"/>
      <c r="K17" s="151"/>
      <c r="L17" s="294"/>
    </row>
    <row r="18" spans="1:14" s="102" customFormat="1" ht="15.75" x14ac:dyDescent="0.25">
      <c r="A18" s="890" t="s">
        <v>59</v>
      </c>
      <c r="B18" s="890" t="s">
        <v>92</v>
      </c>
      <c r="C18" s="370" t="s">
        <v>60</v>
      </c>
      <c r="D18" s="911" t="s">
        <v>61</v>
      </c>
      <c r="E18" s="370" t="s">
        <v>120</v>
      </c>
      <c r="F18" s="262" t="s">
        <v>11</v>
      </c>
      <c r="G18" s="905" t="s">
        <v>75</v>
      </c>
      <c r="H18" s="905"/>
      <c r="I18" s="263" t="s">
        <v>76</v>
      </c>
      <c r="J18" s="264" t="s">
        <v>77</v>
      </c>
      <c r="K18" s="371" t="s">
        <v>10</v>
      </c>
      <c r="L18" s="888" t="s">
        <v>247</v>
      </c>
      <c r="M18" s="889"/>
      <c r="N18" s="588"/>
    </row>
    <row r="19" spans="1:14" s="102" customFormat="1" ht="15" x14ac:dyDescent="0.2">
      <c r="A19" s="890"/>
      <c r="B19" s="890"/>
      <c r="C19" s="370" t="s">
        <v>129</v>
      </c>
      <c r="D19" s="911"/>
      <c r="E19" s="370" t="s">
        <v>1</v>
      </c>
      <c r="F19" s="262" t="s">
        <v>178</v>
      </c>
      <c r="G19" s="371" t="s">
        <v>23</v>
      </c>
      <c r="H19" s="371" t="s">
        <v>9</v>
      </c>
      <c r="I19" s="371" t="s">
        <v>23</v>
      </c>
      <c r="J19" s="264" t="s">
        <v>64</v>
      </c>
      <c r="K19" s="371" t="s">
        <v>91</v>
      </c>
      <c r="L19" s="294"/>
    </row>
    <row r="20" spans="1:14" s="102" customFormat="1" ht="15" x14ac:dyDescent="0.2">
      <c r="A20" s="337">
        <v>1</v>
      </c>
      <c r="B20" s="155" t="s">
        <v>231</v>
      </c>
      <c r="C20" s="461">
        <v>1</v>
      </c>
      <c r="D20" s="152" t="s">
        <v>191</v>
      </c>
      <c r="E20" s="152" t="s">
        <v>97</v>
      </c>
      <c r="F20" s="137">
        <f>Osmocote!J4</f>
        <v>250</v>
      </c>
      <c r="G20" s="137">
        <f>Osmocote!I20</f>
        <v>0</v>
      </c>
      <c r="H20" s="530">
        <f>Osmocote!G20</f>
        <v>0</v>
      </c>
      <c r="I20" s="115">
        <f>G20-F20</f>
        <v>-250</v>
      </c>
      <c r="J20" s="165">
        <f>G20/F20%</f>
        <v>0</v>
      </c>
      <c r="K20" s="137">
        <f>Osmocote!H20</f>
        <v>0</v>
      </c>
      <c r="L20" s="294"/>
    </row>
    <row r="21" spans="1:14" s="102" customFormat="1" ht="15" x14ac:dyDescent="0.2">
      <c r="A21" s="337">
        <v>4</v>
      </c>
      <c r="B21" s="155" t="s">
        <v>231</v>
      </c>
      <c r="C21" s="461">
        <v>3</v>
      </c>
      <c r="D21" s="152" t="s">
        <v>211</v>
      </c>
      <c r="E21" s="152" t="s">
        <v>183</v>
      </c>
      <c r="F21" s="137">
        <f>Osmocote!J121</f>
        <v>500</v>
      </c>
      <c r="G21" s="137">
        <f>Osmocote!I155</f>
        <v>10</v>
      </c>
      <c r="H21" s="530">
        <f>Osmocote!G22</f>
        <v>0</v>
      </c>
      <c r="I21" s="115">
        <f>G21-F21</f>
        <v>-490</v>
      </c>
      <c r="J21" s="165">
        <f>G21/F21%</f>
        <v>2</v>
      </c>
      <c r="K21" s="137">
        <f>Osmocote!H155</f>
        <v>12000210</v>
      </c>
      <c r="L21" s="294"/>
    </row>
    <row r="22" spans="1:14" s="102" customFormat="1" ht="15" x14ac:dyDescent="0.2">
      <c r="A22" s="337">
        <v>5</v>
      </c>
      <c r="B22" s="155" t="s">
        <v>231</v>
      </c>
      <c r="C22" s="461">
        <v>4</v>
      </c>
      <c r="D22" s="152" t="s">
        <v>212</v>
      </c>
      <c r="E22" s="152" t="s">
        <v>108</v>
      </c>
      <c r="F22" s="137">
        <f>Osmocote!J159</f>
        <v>200</v>
      </c>
      <c r="G22" s="137">
        <f>Osmocote!I171</f>
        <v>0</v>
      </c>
      <c r="H22" s="530">
        <f>Osmocote!G74</f>
        <v>0</v>
      </c>
      <c r="I22" s="115">
        <f>G22-F22</f>
        <v>-200</v>
      </c>
      <c r="J22" s="165">
        <f>G22/F22%</f>
        <v>0</v>
      </c>
      <c r="K22" s="137">
        <f>Osmocote!H171</f>
        <v>0</v>
      </c>
      <c r="L22" s="294"/>
    </row>
    <row r="23" spans="1:14" s="102" customFormat="1" ht="15" x14ac:dyDescent="0.2">
      <c r="A23" s="337"/>
      <c r="B23" s="155"/>
      <c r="C23" s="461"/>
      <c r="D23" s="152"/>
      <c r="E23" s="224" t="s">
        <v>34</v>
      </c>
      <c r="F23" s="225">
        <f>SUM(F18:F22)</f>
        <v>950</v>
      </c>
      <c r="G23" s="225">
        <f>SUM(G18:G22)</f>
        <v>10</v>
      </c>
      <c r="H23" s="229">
        <f>SUM(H18:H22)</f>
        <v>0</v>
      </c>
      <c r="I23" s="226">
        <f>SUM(I18:I22)</f>
        <v>-940</v>
      </c>
      <c r="J23" s="239">
        <f>G23/F23%</f>
        <v>1.0526315789473684</v>
      </c>
      <c r="K23" s="225">
        <f>SUM(K20:K22)</f>
        <v>12000210</v>
      </c>
      <c r="L23" s="294"/>
    </row>
    <row r="24" spans="1:14" s="102" customFormat="1" ht="15" x14ac:dyDescent="0.2">
      <c r="A24" s="176"/>
      <c r="B24" s="156"/>
      <c r="C24" s="176"/>
      <c r="D24" s="305"/>
      <c r="E24" s="305"/>
      <c r="F24" s="150"/>
      <c r="G24" s="150"/>
      <c r="H24" s="150"/>
      <c r="I24" s="150"/>
      <c r="J24" s="150"/>
      <c r="K24" s="150"/>
      <c r="L24" s="294"/>
    </row>
    <row r="25" spans="1:14" s="102" customFormat="1" ht="15" x14ac:dyDescent="0.2">
      <c r="A25" s="174"/>
      <c r="B25" s="157"/>
      <c r="C25" s="174"/>
      <c r="D25" s="303"/>
      <c r="E25" s="151"/>
      <c r="F25" s="151"/>
      <c r="G25" s="151"/>
      <c r="H25" s="151"/>
      <c r="I25" s="151"/>
      <c r="J25" s="151"/>
      <c r="K25" s="151"/>
      <c r="L25" s="294"/>
    </row>
    <row r="26" spans="1:14" s="102" customFormat="1" ht="15.75" x14ac:dyDescent="0.25">
      <c r="A26" s="900" t="s">
        <v>59</v>
      </c>
      <c r="B26" s="900" t="s">
        <v>92</v>
      </c>
      <c r="C26" s="377" t="s">
        <v>60</v>
      </c>
      <c r="D26" s="886" t="s">
        <v>61</v>
      </c>
      <c r="E26" s="377" t="s">
        <v>120</v>
      </c>
      <c r="F26" s="378" t="s">
        <v>11</v>
      </c>
      <c r="G26" s="887" t="s">
        <v>75</v>
      </c>
      <c r="H26" s="887"/>
      <c r="I26" s="386" t="s">
        <v>76</v>
      </c>
      <c r="J26" s="379" t="s">
        <v>77</v>
      </c>
      <c r="K26" s="380" t="s">
        <v>10</v>
      </c>
      <c r="L26" s="888" t="s">
        <v>247</v>
      </c>
      <c r="M26" s="889"/>
      <c r="N26" s="588"/>
    </row>
    <row r="27" spans="1:14" s="102" customFormat="1" ht="15" x14ac:dyDescent="0.2">
      <c r="A27" s="900"/>
      <c r="B27" s="900"/>
      <c r="C27" s="377" t="s">
        <v>129</v>
      </c>
      <c r="D27" s="886"/>
      <c r="E27" s="377" t="s">
        <v>1</v>
      </c>
      <c r="F27" s="378" t="s">
        <v>78</v>
      </c>
      <c r="G27" s="380" t="s">
        <v>23</v>
      </c>
      <c r="H27" s="380" t="s">
        <v>29</v>
      </c>
      <c r="I27" s="378" t="s">
        <v>23</v>
      </c>
      <c r="J27" s="379" t="s">
        <v>64</v>
      </c>
      <c r="K27" s="380" t="s">
        <v>91</v>
      </c>
      <c r="L27" s="294"/>
    </row>
    <row r="28" spans="1:14" s="97" customFormat="1" ht="15" x14ac:dyDescent="0.2">
      <c r="A28" s="94">
        <v>3</v>
      </c>
      <c r="B28" s="171" t="s">
        <v>109</v>
      </c>
      <c r="C28" s="94">
        <v>1</v>
      </c>
      <c r="D28" s="302" t="s">
        <v>96</v>
      </c>
      <c r="E28" s="149" t="s">
        <v>98</v>
      </c>
      <c r="F28" s="115">
        <f>Gdtar!I4</f>
        <v>100</v>
      </c>
      <c r="G28" s="115">
        <f>Gdtar!H18</f>
        <v>0</v>
      </c>
      <c r="H28" s="532">
        <f>Gdtar!F18</f>
        <v>0</v>
      </c>
      <c r="I28" s="137">
        <f>G28-F28</f>
        <v>-100</v>
      </c>
      <c r="J28" s="169">
        <f>G28/F28%</f>
        <v>0</v>
      </c>
      <c r="K28" s="115">
        <f>Gdtar!G18</f>
        <v>0</v>
      </c>
      <c r="L28" s="293"/>
    </row>
    <row r="29" spans="1:14" s="102" customFormat="1" ht="15" x14ac:dyDescent="0.2">
      <c r="A29" s="94">
        <v>4</v>
      </c>
      <c r="B29" s="171" t="s">
        <v>109</v>
      </c>
      <c r="C29" s="94">
        <v>2</v>
      </c>
      <c r="D29" s="302" t="s">
        <v>110</v>
      </c>
      <c r="E29" s="149" t="s">
        <v>183</v>
      </c>
      <c r="F29" s="115">
        <f>Gdtar!I23</f>
        <v>300</v>
      </c>
      <c r="G29" s="115">
        <f>Gdtar!H38</f>
        <v>0</v>
      </c>
      <c r="H29" s="532">
        <f>Gdtar!F38</f>
        <v>0</v>
      </c>
      <c r="I29" s="137">
        <f>G29-F29</f>
        <v>-300</v>
      </c>
      <c r="J29" s="169">
        <f>G29/F29%</f>
        <v>0</v>
      </c>
      <c r="K29" s="115">
        <f>Gdtar!G38</f>
        <v>0</v>
      </c>
      <c r="L29" s="294"/>
    </row>
    <row r="30" spans="1:14" s="102" customFormat="1" ht="15" x14ac:dyDescent="0.2">
      <c r="A30" s="94"/>
      <c r="B30" s="93"/>
      <c r="C30" s="94"/>
      <c r="D30" s="302"/>
      <c r="E30" s="224" t="s">
        <v>34</v>
      </c>
      <c r="F30" s="227">
        <f>SUM(F28:F29)</f>
        <v>400</v>
      </c>
      <c r="G30" s="227">
        <f>SUM(G28:G29)</f>
        <v>0</v>
      </c>
      <c r="H30" s="531">
        <f>SUM(H28:H29)</f>
        <v>0</v>
      </c>
      <c r="I30" s="227">
        <f>SUM(I28:I29)</f>
        <v>-400</v>
      </c>
      <c r="J30" s="259">
        <f>G30/F30%</f>
        <v>0</v>
      </c>
      <c r="K30" s="227">
        <f>SUM(K28:K29)</f>
        <v>0</v>
      </c>
      <c r="L30" s="294"/>
    </row>
    <row r="31" spans="1:14" s="102" customFormat="1" ht="15" x14ac:dyDescent="0.2">
      <c r="A31" s="174"/>
      <c r="B31" s="157"/>
      <c r="C31" s="174"/>
      <c r="D31" s="303"/>
      <c r="E31" s="154"/>
      <c r="F31" s="35"/>
      <c r="G31" s="35"/>
      <c r="H31" s="35"/>
      <c r="I31" s="35"/>
      <c r="J31" s="234"/>
      <c r="K31" s="35"/>
      <c r="L31" s="294"/>
    </row>
    <row r="32" spans="1:14" s="102" customFormat="1" ht="15" x14ac:dyDescent="0.2">
      <c r="A32" s="900" t="s">
        <v>59</v>
      </c>
      <c r="B32" s="900" t="s">
        <v>92</v>
      </c>
      <c r="C32" s="574" t="s">
        <v>60</v>
      </c>
      <c r="D32" s="886" t="s">
        <v>61</v>
      </c>
      <c r="E32" s="574" t="s">
        <v>120</v>
      </c>
      <c r="F32" s="378" t="s">
        <v>11</v>
      </c>
      <c r="G32" s="887" t="s">
        <v>75</v>
      </c>
      <c r="H32" s="887"/>
      <c r="I32" s="386" t="s">
        <v>76</v>
      </c>
      <c r="J32" s="379" t="s">
        <v>77</v>
      </c>
      <c r="K32" s="575" t="s">
        <v>10</v>
      </c>
      <c r="L32" s="294"/>
    </row>
    <row r="33" spans="1:12" s="102" customFormat="1" ht="15" x14ac:dyDescent="0.2">
      <c r="A33" s="900"/>
      <c r="B33" s="900"/>
      <c r="C33" s="574" t="s">
        <v>129</v>
      </c>
      <c r="D33" s="886"/>
      <c r="E33" s="574" t="s">
        <v>1</v>
      </c>
      <c r="F33" s="378" t="s">
        <v>78</v>
      </c>
      <c r="G33" s="575" t="s">
        <v>23</v>
      </c>
      <c r="H33" s="575" t="s">
        <v>29</v>
      </c>
      <c r="I33" s="378" t="s">
        <v>23</v>
      </c>
      <c r="J33" s="379" t="s">
        <v>64</v>
      </c>
      <c r="K33" s="575" t="s">
        <v>91</v>
      </c>
      <c r="L33" s="294"/>
    </row>
    <row r="34" spans="1:12" s="102" customFormat="1" ht="15" x14ac:dyDescent="0.2">
      <c r="A34" s="94">
        <v>1</v>
      </c>
      <c r="B34" s="171" t="s">
        <v>241</v>
      </c>
      <c r="C34" s="94">
        <v>1</v>
      </c>
      <c r="D34" s="302" t="s">
        <v>96</v>
      </c>
      <c r="E34" s="149" t="s">
        <v>97</v>
      </c>
      <c r="F34" s="115">
        <f>Mstfl!I4</f>
        <v>300</v>
      </c>
      <c r="G34" s="115">
        <f>Mstfl!H19</f>
        <v>0</v>
      </c>
      <c r="H34" s="532">
        <f>Mstfl!F19</f>
        <v>0</v>
      </c>
      <c r="I34" s="137">
        <f>G34-F34</f>
        <v>-300</v>
      </c>
      <c r="J34" s="169">
        <f>G34/F34%</f>
        <v>0</v>
      </c>
      <c r="K34" s="115">
        <f>Mstfl!G19</f>
        <v>0</v>
      </c>
      <c r="L34" s="586"/>
    </row>
    <row r="35" spans="1:12" s="102" customFormat="1" ht="15" x14ac:dyDescent="0.2">
      <c r="A35" s="94">
        <v>4</v>
      </c>
      <c r="B35" s="171" t="s">
        <v>241</v>
      </c>
      <c r="C35" s="94">
        <v>2</v>
      </c>
      <c r="D35" s="302" t="s">
        <v>192</v>
      </c>
      <c r="E35" s="149" t="s">
        <v>103</v>
      </c>
      <c r="F35" s="115">
        <f>Mstfl!I24</f>
        <v>500</v>
      </c>
      <c r="G35" s="115">
        <f>Mstfl!H36</f>
        <v>0</v>
      </c>
      <c r="H35" s="532">
        <f>Mstfl!F36</f>
        <v>0</v>
      </c>
      <c r="I35" s="137">
        <f>G35-F35</f>
        <v>-500</v>
      </c>
      <c r="J35" s="169">
        <f>G35/F35%</f>
        <v>0</v>
      </c>
      <c r="K35" s="115">
        <f>Mstfl!G36</f>
        <v>0</v>
      </c>
      <c r="L35" s="586"/>
    </row>
    <row r="36" spans="1:12" s="102" customFormat="1" ht="15" x14ac:dyDescent="0.2">
      <c r="A36" s="94"/>
      <c r="B36" s="93"/>
      <c r="C36" s="94"/>
      <c r="D36" s="302"/>
      <c r="E36" s="224" t="s">
        <v>34</v>
      </c>
      <c r="F36" s="227">
        <f>SUM(F34:F35)</f>
        <v>800</v>
      </c>
      <c r="G36" s="227">
        <f>SUM(G34:G35)</f>
        <v>0</v>
      </c>
      <c r="H36" s="531">
        <f>SUM(H34:H35)</f>
        <v>0</v>
      </c>
      <c r="I36" s="227">
        <f>SUM(I34:I35)</f>
        <v>-800</v>
      </c>
      <c r="J36" s="259">
        <f>G36/F36%</f>
        <v>0</v>
      </c>
      <c r="K36" s="227">
        <f>SUM(K34:K35)</f>
        <v>0</v>
      </c>
      <c r="L36" s="294"/>
    </row>
    <row r="37" spans="1:12" s="294" customFormat="1" ht="15" x14ac:dyDescent="0.2">
      <c r="A37" s="425"/>
      <c r="B37" s="323"/>
      <c r="C37" s="425"/>
      <c r="D37" s="247"/>
      <c r="E37" s="579"/>
      <c r="F37" s="517"/>
      <c r="G37" s="517"/>
      <c r="H37" s="580"/>
      <c r="I37" s="517"/>
      <c r="J37" s="581"/>
      <c r="K37" s="517"/>
    </row>
    <row r="38" spans="1:12" s="102" customFormat="1" ht="15" x14ac:dyDescent="0.2">
      <c r="A38" s="174"/>
      <c r="B38" s="157"/>
      <c r="C38" s="174"/>
      <c r="D38" s="303"/>
      <c r="E38" s="154"/>
      <c r="F38" s="35"/>
      <c r="G38" s="35"/>
      <c r="H38" s="35"/>
      <c r="I38" s="35"/>
      <c r="J38" s="234"/>
      <c r="K38" s="35"/>
      <c r="L38" s="294"/>
    </row>
    <row r="39" spans="1:12" s="102" customFormat="1" ht="15" x14ac:dyDescent="0.2">
      <c r="A39" s="900" t="s">
        <v>59</v>
      </c>
      <c r="B39" s="900" t="s">
        <v>92</v>
      </c>
      <c r="C39" s="577" t="s">
        <v>60</v>
      </c>
      <c r="D39" s="886" t="s">
        <v>61</v>
      </c>
      <c r="E39" s="577" t="s">
        <v>120</v>
      </c>
      <c r="F39" s="378" t="s">
        <v>11</v>
      </c>
      <c r="G39" s="887" t="s">
        <v>75</v>
      </c>
      <c r="H39" s="887"/>
      <c r="I39" s="386" t="s">
        <v>76</v>
      </c>
      <c r="J39" s="379" t="s">
        <v>77</v>
      </c>
      <c r="K39" s="578" t="s">
        <v>10</v>
      </c>
      <c r="L39" s="294"/>
    </row>
    <row r="40" spans="1:12" s="102" customFormat="1" ht="15" x14ac:dyDescent="0.2">
      <c r="A40" s="900"/>
      <c r="B40" s="900"/>
      <c r="C40" s="577" t="s">
        <v>129</v>
      </c>
      <c r="D40" s="886"/>
      <c r="E40" s="577" t="s">
        <v>1</v>
      </c>
      <c r="F40" s="378" t="s">
        <v>78</v>
      </c>
      <c r="G40" s="578" t="s">
        <v>23</v>
      </c>
      <c r="H40" s="578" t="s">
        <v>29</v>
      </c>
      <c r="I40" s="378" t="s">
        <v>23</v>
      </c>
      <c r="J40" s="379" t="s">
        <v>64</v>
      </c>
      <c r="K40" s="578" t="s">
        <v>91</v>
      </c>
      <c r="L40" s="294"/>
    </row>
    <row r="41" spans="1:12" s="102" customFormat="1" ht="15" x14ac:dyDescent="0.2">
      <c r="A41" s="94">
        <v>1</v>
      </c>
      <c r="B41" s="171" t="s">
        <v>223</v>
      </c>
      <c r="C41" s="94">
        <v>1</v>
      </c>
      <c r="D41" s="302" t="s">
        <v>96</v>
      </c>
      <c r="E41" s="149" t="s">
        <v>97</v>
      </c>
      <c r="F41" s="115">
        <f>Dkg!I4</f>
        <v>50</v>
      </c>
      <c r="G41" s="115">
        <f>Dkg!H19</f>
        <v>0</v>
      </c>
      <c r="H41" s="532">
        <f>Dkg!F19</f>
        <v>0</v>
      </c>
      <c r="I41" s="137">
        <f>G41-F41</f>
        <v>-50</v>
      </c>
      <c r="J41" s="169">
        <f>G41/F41%</f>
        <v>0</v>
      </c>
      <c r="K41" s="115">
        <f>Dkg!G19</f>
        <v>0</v>
      </c>
      <c r="L41" s="586"/>
    </row>
    <row r="42" spans="1:12" s="102" customFormat="1" ht="15" x14ac:dyDescent="0.2">
      <c r="A42" s="94"/>
      <c r="B42" s="93"/>
      <c r="C42" s="94"/>
      <c r="D42" s="302"/>
      <c r="E42" s="224" t="s">
        <v>34</v>
      </c>
      <c r="F42" s="227">
        <f>SUM(F41:F41)</f>
        <v>50</v>
      </c>
      <c r="G42" s="227">
        <f>SUM(G41:G41)</f>
        <v>0</v>
      </c>
      <c r="H42" s="531">
        <f>SUM(H41:H41)</f>
        <v>0</v>
      </c>
      <c r="I42" s="227">
        <f>SUM(I41:I41)</f>
        <v>-50</v>
      </c>
      <c r="J42" s="259">
        <f>G42/F42%</f>
        <v>0</v>
      </c>
      <c r="K42" s="227">
        <f>SUM(K41:K41)</f>
        <v>0</v>
      </c>
      <c r="L42" s="294"/>
    </row>
    <row r="43" spans="1:12" s="102" customFormat="1" ht="15" x14ac:dyDescent="0.2">
      <c r="A43" s="174"/>
      <c r="B43" s="157"/>
      <c r="C43" s="174"/>
      <c r="D43" s="303"/>
      <c r="E43" s="154"/>
      <c r="F43" s="35"/>
      <c r="G43" s="35"/>
      <c r="H43" s="35"/>
      <c r="I43" s="35"/>
      <c r="J43" s="234"/>
      <c r="K43" s="35"/>
      <c r="L43" s="294"/>
    </row>
    <row r="44" spans="1:12" s="102" customFormat="1" ht="15" x14ac:dyDescent="0.2">
      <c r="A44" s="174"/>
      <c r="B44" s="157"/>
      <c r="C44" s="174"/>
      <c r="D44" s="303"/>
      <c r="E44" s="154"/>
      <c r="F44" s="35"/>
      <c r="G44" s="35"/>
      <c r="H44" s="35"/>
      <c r="I44" s="35"/>
      <c r="J44" s="234"/>
      <c r="K44" s="35"/>
      <c r="L44" s="294"/>
    </row>
    <row r="45" spans="1:12" s="102" customFormat="1" ht="15" x14ac:dyDescent="0.2">
      <c r="A45" s="899" t="s">
        <v>59</v>
      </c>
      <c r="B45" s="899" t="s">
        <v>92</v>
      </c>
      <c r="C45" s="297" t="s">
        <v>60</v>
      </c>
      <c r="D45" s="906" t="s">
        <v>61</v>
      </c>
      <c r="E45" s="265" t="s">
        <v>120</v>
      </c>
      <c r="F45" s="266" t="s">
        <v>11</v>
      </c>
      <c r="G45" s="902" t="s">
        <v>75</v>
      </c>
      <c r="H45" s="902"/>
      <c r="I45" s="267" t="s">
        <v>76</v>
      </c>
      <c r="J45" s="268" t="s">
        <v>77</v>
      </c>
      <c r="K45" s="269" t="s">
        <v>10</v>
      </c>
      <c r="L45" s="294"/>
    </row>
    <row r="46" spans="1:12" s="102" customFormat="1" ht="15" x14ac:dyDescent="0.2">
      <c r="A46" s="899"/>
      <c r="B46" s="899"/>
      <c r="C46" s="297" t="s">
        <v>129</v>
      </c>
      <c r="D46" s="906"/>
      <c r="E46" s="265" t="s">
        <v>1</v>
      </c>
      <c r="F46" s="266" t="s">
        <v>78</v>
      </c>
      <c r="G46" s="269" t="s">
        <v>23</v>
      </c>
      <c r="H46" s="269" t="s">
        <v>29</v>
      </c>
      <c r="I46" s="266" t="s">
        <v>23</v>
      </c>
      <c r="J46" s="268" t="s">
        <v>64</v>
      </c>
      <c r="K46" s="269" t="s">
        <v>91</v>
      </c>
      <c r="L46" s="294"/>
    </row>
    <row r="47" spans="1:12" s="102" customFormat="1" ht="15" x14ac:dyDescent="0.2">
      <c r="A47" s="94">
        <v>1</v>
      </c>
      <c r="B47" s="171" t="s">
        <v>101</v>
      </c>
      <c r="C47" s="94">
        <v>1</v>
      </c>
      <c r="D47" s="302" t="s">
        <v>96</v>
      </c>
      <c r="E47" s="149" t="s">
        <v>97</v>
      </c>
      <c r="F47" s="115">
        <f>'Dkm Cair'!I4</f>
        <v>400</v>
      </c>
      <c r="G47" s="115">
        <f>'Dkm Cair'!H11</f>
        <v>0</v>
      </c>
      <c r="H47" s="532">
        <f>'Dkm Cair'!F11</f>
        <v>0</v>
      </c>
      <c r="I47" s="137">
        <f>'Dkm Cair'!F11</f>
        <v>0</v>
      </c>
      <c r="J47" s="169">
        <f>'Dkm Cair'!H12</f>
        <v>0</v>
      </c>
      <c r="K47" s="115">
        <f>'Dkm Cair'!G11</f>
        <v>0</v>
      </c>
      <c r="L47" s="586"/>
    </row>
    <row r="48" spans="1:12" s="102" customFormat="1" ht="15" x14ac:dyDescent="0.2">
      <c r="A48" s="94">
        <v>2</v>
      </c>
      <c r="B48" s="171" t="s">
        <v>101</v>
      </c>
      <c r="C48" s="94">
        <v>2</v>
      </c>
      <c r="D48" s="302" t="s">
        <v>198</v>
      </c>
      <c r="E48" s="149" t="s">
        <v>95</v>
      </c>
      <c r="F48" s="161">
        <f>'Dkm Cair'!I15</f>
        <v>600</v>
      </c>
      <c r="G48" s="161">
        <f>'Dkm Cair'!H30</f>
        <v>50</v>
      </c>
      <c r="H48" s="167">
        <f>'Dkm Cair'!F30</f>
        <v>250</v>
      </c>
      <c r="I48" s="161">
        <f t="shared" ref="I48:I53" si="0">G48-F48</f>
        <v>-550</v>
      </c>
      <c r="J48" s="169">
        <f t="shared" ref="J48:J53" si="1">G48/F48%</f>
        <v>8.3333333333333339</v>
      </c>
      <c r="K48" s="161">
        <f>'Dkm Cair'!G30</f>
        <v>47805480</v>
      </c>
      <c r="L48" s="586"/>
    </row>
    <row r="49" spans="1:12" s="102" customFormat="1" ht="15" x14ac:dyDescent="0.2">
      <c r="A49" s="94">
        <v>3</v>
      </c>
      <c r="B49" s="171" t="s">
        <v>101</v>
      </c>
      <c r="C49" s="94">
        <v>3</v>
      </c>
      <c r="D49" s="302" t="s">
        <v>180</v>
      </c>
      <c r="E49" s="149" t="s">
        <v>102</v>
      </c>
      <c r="F49" s="161">
        <f>'Dkm Cair'!I35</f>
        <v>1200</v>
      </c>
      <c r="G49" s="161">
        <f>'Dkm Cair'!H61</f>
        <v>135</v>
      </c>
      <c r="H49" s="167">
        <f>'Dkm Cair'!F61</f>
        <v>2420</v>
      </c>
      <c r="I49" s="161">
        <f t="shared" si="0"/>
        <v>-1065</v>
      </c>
      <c r="J49" s="169">
        <f t="shared" si="1"/>
        <v>11.25</v>
      </c>
      <c r="K49" s="161">
        <f>'Dkm Cair'!G61</f>
        <v>176449596</v>
      </c>
      <c r="L49" s="586"/>
    </row>
    <row r="50" spans="1:12" s="102" customFormat="1" ht="15" x14ac:dyDescent="0.2">
      <c r="A50" s="94">
        <v>4</v>
      </c>
      <c r="B50" s="171" t="s">
        <v>101</v>
      </c>
      <c r="C50" s="94">
        <v>4</v>
      </c>
      <c r="D50" s="302" t="s">
        <v>199</v>
      </c>
      <c r="E50" s="149" t="s">
        <v>103</v>
      </c>
      <c r="F50" s="161">
        <f>'Dkm Cair'!I66</f>
        <v>700</v>
      </c>
      <c r="G50" s="161">
        <f>'Dkm Cair'!H80</f>
        <v>0</v>
      </c>
      <c r="H50" s="167">
        <f>'Dkm Cair'!F80</f>
        <v>0</v>
      </c>
      <c r="I50" s="161">
        <f t="shared" si="0"/>
        <v>-700</v>
      </c>
      <c r="J50" s="169">
        <f t="shared" si="1"/>
        <v>0</v>
      </c>
      <c r="K50" s="161">
        <f>'Dkm Cair'!G80</f>
        <v>0</v>
      </c>
      <c r="L50" s="586"/>
    </row>
    <row r="51" spans="1:12" s="102" customFormat="1" ht="15" x14ac:dyDescent="0.2">
      <c r="A51" s="94">
        <v>4</v>
      </c>
      <c r="B51" s="171" t="s">
        <v>101</v>
      </c>
      <c r="C51" s="94">
        <v>5</v>
      </c>
      <c r="D51" s="302" t="s">
        <v>153</v>
      </c>
      <c r="E51" s="149" t="s">
        <v>103</v>
      </c>
      <c r="F51" s="161">
        <f>'Dkm Cair'!I85</f>
        <v>300</v>
      </c>
      <c r="G51" s="161">
        <f>'Dkm Cair'!D93</f>
        <v>0</v>
      </c>
      <c r="H51" s="167">
        <f>'Dkm Cair'!F93</f>
        <v>0</v>
      </c>
      <c r="I51" s="161">
        <f t="shared" si="0"/>
        <v>-300</v>
      </c>
      <c r="J51" s="169">
        <f t="shared" si="1"/>
        <v>0</v>
      </c>
      <c r="K51" s="161">
        <f>'Dkm Cair'!G93</f>
        <v>0</v>
      </c>
      <c r="L51" s="586"/>
    </row>
    <row r="52" spans="1:12" s="102" customFormat="1" ht="15" x14ac:dyDescent="0.2">
      <c r="A52" s="94">
        <v>5</v>
      </c>
      <c r="B52" s="171" t="s">
        <v>101</v>
      </c>
      <c r="C52" s="94">
        <v>6</v>
      </c>
      <c r="D52" s="302" t="s">
        <v>200</v>
      </c>
      <c r="E52" s="149" t="s">
        <v>100</v>
      </c>
      <c r="F52" s="161">
        <f>'Dkm Cair'!I109</f>
        <v>100</v>
      </c>
      <c r="G52" s="161">
        <f>'Dkm Cair'!H122</f>
        <v>0</v>
      </c>
      <c r="H52" s="167">
        <f>'Dkm Cair'!F122</f>
        <v>0</v>
      </c>
      <c r="I52" s="161">
        <f t="shared" si="0"/>
        <v>-100</v>
      </c>
      <c r="J52" s="169">
        <f t="shared" si="1"/>
        <v>0</v>
      </c>
      <c r="K52" s="161">
        <f>'Dkm Cair'!G122</f>
        <v>0</v>
      </c>
      <c r="L52" s="586"/>
    </row>
    <row r="53" spans="1:12" s="102" customFormat="1" ht="15" x14ac:dyDescent="0.2">
      <c r="A53" s="94">
        <v>5</v>
      </c>
      <c r="B53" s="171" t="s">
        <v>101</v>
      </c>
      <c r="C53" s="94">
        <v>7</v>
      </c>
      <c r="D53" s="302" t="s">
        <v>96</v>
      </c>
      <c r="E53" s="149" t="s">
        <v>100</v>
      </c>
      <c r="F53" s="161">
        <f>'Dkm Cair'!I127</f>
        <v>2000</v>
      </c>
      <c r="G53" s="161">
        <f>'Dkm Cair'!H143</f>
        <v>400</v>
      </c>
      <c r="H53" s="167">
        <f>'Dkm Cair'!F143</f>
        <v>5700</v>
      </c>
      <c r="I53" s="161">
        <f t="shared" si="0"/>
        <v>-1600</v>
      </c>
      <c r="J53" s="169">
        <f t="shared" si="1"/>
        <v>20</v>
      </c>
      <c r="K53" s="161">
        <f>'Dkm Cair'!G143</f>
        <v>487618560</v>
      </c>
      <c r="L53" s="586"/>
    </row>
    <row r="54" spans="1:12" s="102" customFormat="1" ht="15" x14ac:dyDescent="0.2">
      <c r="A54" s="94"/>
      <c r="B54" s="93"/>
      <c r="C54" s="94"/>
      <c r="D54" s="302"/>
      <c r="E54" s="466" t="s">
        <v>34</v>
      </c>
      <c r="F54" s="225">
        <f t="shared" ref="F54:K54" si="2">SUM(F47:F53)</f>
        <v>5300</v>
      </c>
      <c r="G54" s="225">
        <f t="shared" si="2"/>
        <v>585</v>
      </c>
      <c r="H54" s="229">
        <f t="shared" si="2"/>
        <v>8370</v>
      </c>
      <c r="I54" s="225">
        <f t="shared" si="2"/>
        <v>-4315</v>
      </c>
      <c r="J54" s="259">
        <f t="shared" si="2"/>
        <v>39.583333333333336</v>
      </c>
      <c r="K54" s="225">
        <f t="shared" si="2"/>
        <v>711873636</v>
      </c>
      <c r="L54" s="294"/>
    </row>
    <row r="55" spans="1:12" s="102" customFormat="1" ht="15" x14ac:dyDescent="0.2">
      <c r="A55" s="176"/>
      <c r="B55" s="156"/>
      <c r="C55" s="176"/>
      <c r="D55" s="305"/>
      <c r="E55" s="150"/>
      <c r="F55" s="150"/>
      <c r="G55" s="150"/>
      <c r="H55" s="150"/>
      <c r="I55" s="150"/>
      <c r="J55" s="150"/>
      <c r="K55" s="150"/>
      <c r="L55" s="294"/>
    </row>
    <row r="56" spans="1:12" s="102" customFormat="1" ht="15" x14ac:dyDescent="0.2">
      <c r="A56" s="174"/>
      <c r="B56" s="157"/>
      <c r="C56" s="174"/>
      <c r="D56" s="303"/>
      <c r="E56" s="151"/>
      <c r="F56" s="151"/>
      <c r="G56" s="151"/>
      <c r="H56" s="151"/>
      <c r="I56" s="151"/>
      <c r="J56" s="151"/>
      <c r="K56" s="151"/>
      <c r="L56" s="294"/>
    </row>
    <row r="57" spans="1:12" s="102" customFormat="1" ht="15" x14ac:dyDescent="0.2">
      <c r="A57" s="892" t="s">
        <v>59</v>
      </c>
      <c r="B57" s="892" t="s">
        <v>92</v>
      </c>
      <c r="C57" s="387" t="s">
        <v>60</v>
      </c>
      <c r="D57" s="893" t="s">
        <v>61</v>
      </c>
      <c r="E57" s="387" t="s">
        <v>120</v>
      </c>
      <c r="F57" s="388" t="s">
        <v>11</v>
      </c>
      <c r="G57" s="894" t="s">
        <v>75</v>
      </c>
      <c r="H57" s="894"/>
      <c r="I57" s="389" t="s">
        <v>76</v>
      </c>
      <c r="J57" s="390" t="s">
        <v>77</v>
      </c>
      <c r="K57" s="391" t="s">
        <v>10</v>
      </c>
      <c r="L57" s="294"/>
    </row>
    <row r="58" spans="1:12" s="102" customFormat="1" ht="15" x14ac:dyDescent="0.2">
      <c r="A58" s="892"/>
      <c r="B58" s="892"/>
      <c r="C58" s="387" t="s">
        <v>129</v>
      </c>
      <c r="D58" s="893"/>
      <c r="E58" s="387" t="s">
        <v>1</v>
      </c>
      <c r="F58" s="388" t="s">
        <v>78</v>
      </c>
      <c r="G58" s="391" t="s">
        <v>23</v>
      </c>
      <c r="H58" s="514" t="s">
        <v>9</v>
      </c>
      <c r="I58" s="388" t="s">
        <v>23</v>
      </c>
      <c r="J58" s="390" t="s">
        <v>64</v>
      </c>
      <c r="K58" s="391" t="s">
        <v>91</v>
      </c>
      <c r="L58" s="294"/>
    </row>
    <row r="59" spans="1:12" s="102" customFormat="1" ht="15" x14ac:dyDescent="0.2">
      <c r="A59" s="94">
        <v>1</v>
      </c>
      <c r="B59" s="172" t="s">
        <v>105</v>
      </c>
      <c r="C59" s="94">
        <v>1</v>
      </c>
      <c r="D59" s="302" t="s">
        <v>181</v>
      </c>
      <c r="E59" s="149" t="s">
        <v>97</v>
      </c>
      <c r="F59" s="161">
        <f>'Dkm 1,2'!G4</f>
        <v>100</v>
      </c>
      <c r="G59" s="164">
        <f>'Dkm 1,2'!F14</f>
        <v>35</v>
      </c>
      <c r="H59" s="161">
        <f>'Dkm 1,2'!D14</f>
        <v>350</v>
      </c>
      <c r="I59" s="164">
        <f>G59-F59</f>
        <v>-65</v>
      </c>
      <c r="J59" s="169">
        <f>G59/F59%</f>
        <v>35</v>
      </c>
      <c r="K59" s="161">
        <f>'Dkm 1,2'!E14</f>
        <v>27195000</v>
      </c>
      <c r="L59" s="587"/>
    </row>
    <row r="60" spans="1:12" s="102" customFormat="1" ht="15" x14ac:dyDescent="0.2">
      <c r="A60" s="94">
        <v>4</v>
      </c>
      <c r="B60" s="172" t="s">
        <v>105</v>
      </c>
      <c r="C60" s="94">
        <v>2</v>
      </c>
      <c r="D60" s="302" t="s">
        <v>153</v>
      </c>
      <c r="E60" s="149" t="s">
        <v>103</v>
      </c>
      <c r="F60" s="161">
        <f>'Dkm 1,2'!G19</f>
        <v>100</v>
      </c>
      <c r="G60" s="164">
        <f>'Dkm 1,2'!F27</f>
        <v>0</v>
      </c>
      <c r="H60" s="161">
        <f>'Dkm 1,2'!D27</f>
        <v>0</v>
      </c>
      <c r="I60" s="164">
        <f>G60-F60</f>
        <v>-100</v>
      </c>
      <c r="J60" s="169">
        <f>G60/F60%</f>
        <v>0</v>
      </c>
      <c r="K60" s="161">
        <f>'Dkm 1,2'!E27</f>
        <v>0</v>
      </c>
      <c r="L60" s="587"/>
    </row>
    <row r="61" spans="1:12" s="102" customFormat="1" ht="15" x14ac:dyDescent="0.2">
      <c r="A61" s="175"/>
      <c r="B61" s="158"/>
      <c r="C61" s="175"/>
      <c r="D61" s="306"/>
      <c r="E61" s="466" t="s">
        <v>34</v>
      </c>
      <c r="F61" s="467">
        <f>SUM(F59:F60)</f>
        <v>200</v>
      </c>
      <c r="G61" s="468">
        <f>SUM(G59:G60)</f>
        <v>35</v>
      </c>
      <c r="H61" s="467">
        <f>SUM(H59:H60)</f>
        <v>350</v>
      </c>
      <c r="I61" s="468">
        <f>SUM(I59:I60)</f>
        <v>-165</v>
      </c>
      <c r="J61" s="469">
        <f>G61/F61%</f>
        <v>17.5</v>
      </c>
      <c r="K61" s="467">
        <f>SUM(K59:K60)</f>
        <v>27195000</v>
      </c>
      <c r="L61" s="294"/>
    </row>
    <row r="62" spans="1:12" s="102" customFormat="1" ht="15" x14ac:dyDescent="0.2">
      <c r="A62" s="176"/>
      <c r="B62" s="156"/>
      <c r="C62" s="176"/>
      <c r="D62" s="305"/>
      <c r="E62" s="150"/>
      <c r="F62" s="150"/>
      <c r="G62" s="150"/>
      <c r="H62" s="150"/>
      <c r="I62" s="150"/>
      <c r="J62" s="150"/>
      <c r="K62" s="150"/>
      <c r="L62" s="294"/>
    </row>
    <row r="63" spans="1:12" s="102" customFormat="1" ht="15" x14ac:dyDescent="0.2">
      <c r="A63" s="174"/>
      <c r="B63" s="157"/>
      <c r="C63" s="174"/>
      <c r="D63" s="303"/>
      <c r="E63" s="151"/>
      <c r="F63" s="151"/>
      <c r="G63" s="151"/>
      <c r="H63" s="151"/>
      <c r="I63" s="151"/>
      <c r="J63" s="151"/>
      <c r="K63" s="151"/>
      <c r="L63" s="294"/>
    </row>
    <row r="64" spans="1:12" s="102" customFormat="1" ht="15" x14ac:dyDescent="0.2">
      <c r="A64" s="895" t="s">
        <v>59</v>
      </c>
      <c r="B64" s="895" t="s">
        <v>92</v>
      </c>
      <c r="C64" s="392" t="s">
        <v>60</v>
      </c>
      <c r="D64" s="904" t="s">
        <v>61</v>
      </c>
      <c r="E64" s="392" t="s">
        <v>120</v>
      </c>
      <c r="F64" s="393" t="s">
        <v>11</v>
      </c>
      <c r="G64" s="901" t="s">
        <v>75</v>
      </c>
      <c r="H64" s="901"/>
      <c r="I64" s="394" t="s">
        <v>76</v>
      </c>
      <c r="J64" s="395" t="s">
        <v>77</v>
      </c>
      <c r="K64" s="393" t="s">
        <v>10</v>
      </c>
      <c r="L64" s="294"/>
    </row>
    <row r="65" spans="1:12" s="102" customFormat="1" ht="15" x14ac:dyDescent="0.2">
      <c r="A65" s="895"/>
      <c r="B65" s="895"/>
      <c r="C65" s="392" t="s">
        <v>131</v>
      </c>
      <c r="D65" s="904"/>
      <c r="E65" s="392" t="s">
        <v>1</v>
      </c>
      <c r="F65" s="393" t="s">
        <v>78</v>
      </c>
      <c r="G65" s="393" t="s">
        <v>23</v>
      </c>
      <c r="H65" s="393" t="s">
        <v>9</v>
      </c>
      <c r="I65" s="393" t="s">
        <v>23</v>
      </c>
      <c r="J65" s="393" t="s">
        <v>64</v>
      </c>
      <c r="K65" s="393" t="s">
        <v>91</v>
      </c>
      <c r="L65" s="294"/>
    </row>
    <row r="66" spans="1:12" s="102" customFormat="1" ht="15" x14ac:dyDescent="0.2">
      <c r="A66" s="94">
        <v>1</v>
      </c>
      <c r="B66" s="171" t="s">
        <v>107</v>
      </c>
      <c r="C66" s="94">
        <v>1</v>
      </c>
      <c r="D66" s="302" t="s">
        <v>181</v>
      </c>
      <c r="E66" s="149" t="s">
        <v>97</v>
      </c>
      <c r="F66" s="161">
        <f>Msg!K4</f>
        <v>50</v>
      </c>
      <c r="G66" s="161">
        <f>Msg!J15</f>
        <v>0</v>
      </c>
      <c r="H66" s="167">
        <f>Msg!H15</f>
        <v>0</v>
      </c>
      <c r="I66" s="161">
        <f>G66-F66</f>
        <v>-50</v>
      </c>
      <c r="J66" s="169">
        <f>G66/F66%</f>
        <v>0</v>
      </c>
      <c r="K66" s="161">
        <f>Msg!I15</f>
        <v>0</v>
      </c>
      <c r="L66" s="587"/>
    </row>
    <row r="67" spans="1:12" s="102" customFormat="1" ht="15" x14ac:dyDescent="0.2">
      <c r="A67" s="94">
        <v>4</v>
      </c>
      <c r="B67" s="171" t="s">
        <v>107</v>
      </c>
      <c r="C67" s="94">
        <v>2</v>
      </c>
      <c r="D67" s="302" t="s">
        <v>192</v>
      </c>
      <c r="E67" s="149" t="s">
        <v>103</v>
      </c>
      <c r="F67" s="161">
        <f>Msg!K20</f>
        <v>700</v>
      </c>
      <c r="G67" s="161">
        <f>Msg!J37</f>
        <v>200</v>
      </c>
      <c r="H67" s="167">
        <f>Msg!H37</f>
        <v>1020</v>
      </c>
      <c r="I67" s="161">
        <f>G67-F67</f>
        <v>-500</v>
      </c>
      <c r="J67" s="169">
        <f>G67/F67%</f>
        <v>28.571428571428573</v>
      </c>
      <c r="K67" s="161">
        <f>Msg!I37</f>
        <v>461444760</v>
      </c>
      <c r="L67" s="587"/>
    </row>
    <row r="68" spans="1:12" s="102" customFormat="1" ht="15" x14ac:dyDescent="0.2">
      <c r="A68" s="94"/>
      <c r="B68" s="93"/>
      <c r="C68" s="94"/>
      <c r="D68" s="302"/>
      <c r="E68" s="224" t="s">
        <v>34</v>
      </c>
      <c r="F68" s="225">
        <f>SUM(F66:F67)</f>
        <v>750</v>
      </c>
      <c r="G68" s="225">
        <f>SUM(G66:G67)</f>
        <v>200</v>
      </c>
      <c r="H68" s="229">
        <f>SUM(H66:H67)</f>
        <v>1020</v>
      </c>
      <c r="I68" s="225">
        <f>SUM(I66:I67)</f>
        <v>-550</v>
      </c>
      <c r="J68" s="259">
        <f>G68/F68%</f>
        <v>26.666666666666668</v>
      </c>
      <c r="K68" s="225">
        <f>SUM(K66:K67)</f>
        <v>461444760</v>
      </c>
      <c r="L68" s="294"/>
    </row>
    <row r="69" spans="1:12" s="102" customFormat="1" ht="15" x14ac:dyDescent="0.2">
      <c r="A69" s="176"/>
      <c r="B69" s="156"/>
      <c r="C69" s="176"/>
      <c r="D69" s="305"/>
      <c r="E69" s="150"/>
      <c r="F69" s="150"/>
      <c r="G69" s="150"/>
      <c r="H69" s="150"/>
      <c r="I69" s="150"/>
      <c r="J69" s="150"/>
      <c r="K69" s="150"/>
      <c r="L69" s="294"/>
    </row>
    <row r="70" spans="1:12" s="102" customFormat="1" ht="15" x14ac:dyDescent="0.2">
      <c r="A70" s="883" t="s">
        <v>59</v>
      </c>
      <c r="B70" s="883" t="s">
        <v>92</v>
      </c>
      <c r="C70" s="582" t="s">
        <v>60</v>
      </c>
      <c r="D70" s="884" t="s">
        <v>61</v>
      </c>
      <c r="E70" s="582" t="s">
        <v>120</v>
      </c>
      <c r="F70" s="583" t="s">
        <v>11</v>
      </c>
      <c r="G70" s="885" t="s">
        <v>75</v>
      </c>
      <c r="H70" s="885"/>
      <c r="I70" s="584" t="s">
        <v>76</v>
      </c>
      <c r="J70" s="585" t="s">
        <v>77</v>
      </c>
      <c r="K70" s="583" t="s">
        <v>10</v>
      </c>
      <c r="L70" s="294"/>
    </row>
    <row r="71" spans="1:12" s="102" customFormat="1" ht="15" x14ac:dyDescent="0.2">
      <c r="A71" s="883"/>
      <c r="B71" s="883"/>
      <c r="C71" s="582" t="s">
        <v>131</v>
      </c>
      <c r="D71" s="884"/>
      <c r="E71" s="582" t="s">
        <v>1</v>
      </c>
      <c r="F71" s="583" t="s">
        <v>78</v>
      </c>
      <c r="G71" s="583" t="s">
        <v>23</v>
      </c>
      <c r="H71" s="583" t="s">
        <v>9</v>
      </c>
      <c r="I71" s="583" t="s">
        <v>23</v>
      </c>
      <c r="J71" s="583" t="s">
        <v>64</v>
      </c>
      <c r="K71" s="583" t="s">
        <v>91</v>
      </c>
      <c r="L71" s="294"/>
    </row>
    <row r="72" spans="1:12" s="102" customFormat="1" ht="15" x14ac:dyDescent="0.2">
      <c r="A72" s="176">
        <v>3</v>
      </c>
      <c r="B72" s="93" t="s">
        <v>225</v>
      </c>
      <c r="C72" s="94">
        <v>1</v>
      </c>
      <c r="D72" s="302" t="s">
        <v>163</v>
      </c>
      <c r="E72" s="153" t="s">
        <v>102</v>
      </c>
      <c r="F72" s="161">
        <f>Dkprm!I4</f>
        <v>1000</v>
      </c>
      <c r="G72" s="161">
        <f>Dkprm!H16</f>
        <v>150</v>
      </c>
      <c r="H72" s="161">
        <f>Dkprm!F16</f>
        <v>0</v>
      </c>
      <c r="I72" s="161">
        <f>G72-F72</f>
        <v>-850</v>
      </c>
      <c r="J72" s="169">
        <f>G72/F72%</f>
        <v>15</v>
      </c>
      <c r="K72" s="161">
        <f>Dkprm!G16</f>
        <v>136241400</v>
      </c>
      <c r="L72" s="586"/>
    </row>
    <row r="73" spans="1:12" s="102" customFormat="1" ht="15" x14ac:dyDescent="0.2">
      <c r="A73" s="176"/>
      <c r="B73" s="93"/>
      <c r="C73" s="94"/>
      <c r="D73" s="302"/>
      <c r="E73" s="224" t="s">
        <v>34</v>
      </c>
      <c r="F73" s="225">
        <f>SUM(F70:F72)</f>
        <v>1000</v>
      </c>
      <c r="G73" s="225">
        <f>SUM(G70:G72)</f>
        <v>150</v>
      </c>
      <c r="H73" s="229">
        <f>SUM(H70:H72)</f>
        <v>0</v>
      </c>
      <c r="I73" s="225">
        <f>SUM(I70:I72)</f>
        <v>-850</v>
      </c>
      <c r="J73" s="259">
        <f>G73/F73%</f>
        <v>15</v>
      </c>
      <c r="K73" s="225">
        <f>SUM(K70:K72)</f>
        <v>136241400</v>
      </c>
      <c r="L73" s="294"/>
    </row>
    <row r="74" spans="1:12" s="102" customFormat="1" ht="15" x14ac:dyDescent="0.2">
      <c r="A74" s="176"/>
      <c r="B74" s="156"/>
      <c r="C74" s="176"/>
      <c r="D74" s="305"/>
      <c r="E74" s="150"/>
      <c r="F74" s="150"/>
      <c r="G74" s="150"/>
      <c r="H74" s="150"/>
      <c r="I74" s="150"/>
      <c r="J74" s="150"/>
      <c r="K74" s="150"/>
      <c r="L74" s="294"/>
    </row>
    <row r="75" spans="1:12" s="102" customFormat="1" ht="15" x14ac:dyDescent="0.2">
      <c r="A75" s="883" t="s">
        <v>59</v>
      </c>
      <c r="B75" s="883" t="s">
        <v>92</v>
      </c>
      <c r="C75" s="582" t="s">
        <v>60</v>
      </c>
      <c r="D75" s="884" t="s">
        <v>61</v>
      </c>
      <c r="E75" s="582" t="s">
        <v>120</v>
      </c>
      <c r="F75" s="583" t="s">
        <v>11</v>
      </c>
      <c r="G75" s="885" t="s">
        <v>75</v>
      </c>
      <c r="H75" s="885"/>
      <c r="I75" s="584" t="s">
        <v>76</v>
      </c>
      <c r="J75" s="585" t="s">
        <v>77</v>
      </c>
      <c r="K75" s="583" t="s">
        <v>10</v>
      </c>
      <c r="L75" s="294"/>
    </row>
    <row r="76" spans="1:12" s="102" customFormat="1" ht="15" x14ac:dyDescent="0.2">
      <c r="A76" s="883"/>
      <c r="B76" s="883"/>
      <c r="C76" s="582" t="s">
        <v>131</v>
      </c>
      <c r="D76" s="884"/>
      <c r="E76" s="582" t="s">
        <v>1</v>
      </c>
      <c r="F76" s="583" t="s">
        <v>78</v>
      </c>
      <c r="G76" s="583" t="s">
        <v>23</v>
      </c>
      <c r="H76" s="583" t="s">
        <v>9</v>
      </c>
      <c r="I76" s="583" t="s">
        <v>23</v>
      </c>
      <c r="J76" s="583" t="s">
        <v>64</v>
      </c>
      <c r="K76" s="583" t="s">
        <v>91</v>
      </c>
      <c r="L76" s="294"/>
    </row>
    <row r="77" spans="1:12" s="102" customFormat="1" ht="15" x14ac:dyDescent="0.2">
      <c r="A77" s="176">
        <v>3</v>
      </c>
      <c r="B77" s="93" t="s">
        <v>245</v>
      </c>
      <c r="C77" s="94">
        <v>1</v>
      </c>
      <c r="D77" s="302" t="s">
        <v>163</v>
      </c>
      <c r="E77" s="153" t="s">
        <v>102</v>
      </c>
      <c r="F77" s="161">
        <f>Dktn!I4</f>
        <v>1000</v>
      </c>
      <c r="G77" s="161">
        <f>Dktn!H21</f>
        <v>12.5</v>
      </c>
      <c r="H77" s="161">
        <f>Dkprm!F21</f>
        <v>0</v>
      </c>
      <c r="I77" s="161">
        <f>G77-F77</f>
        <v>-987.5</v>
      </c>
      <c r="J77" s="169">
        <f>G77/F77%</f>
        <v>1.25</v>
      </c>
      <c r="K77" s="161">
        <f>Dkprm!G21</f>
        <v>1000</v>
      </c>
      <c r="L77" s="586"/>
    </row>
    <row r="78" spans="1:12" s="102" customFormat="1" ht="15" x14ac:dyDescent="0.2">
      <c r="A78" s="176"/>
      <c r="B78" s="93"/>
      <c r="C78" s="94"/>
      <c r="D78" s="302"/>
      <c r="E78" s="224" t="s">
        <v>34</v>
      </c>
      <c r="F78" s="225">
        <f>SUM(F75:F77)</f>
        <v>1000</v>
      </c>
      <c r="G78" s="225">
        <f>SUM(G75:G77)</f>
        <v>12.5</v>
      </c>
      <c r="H78" s="229">
        <f>SUM(H75:H77)</f>
        <v>0</v>
      </c>
      <c r="I78" s="225">
        <f>SUM(I75:I77)</f>
        <v>-987.5</v>
      </c>
      <c r="J78" s="259">
        <f>G78/F78%</f>
        <v>1.25</v>
      </c>
      <c r="K78" s="225">
        <f>Dktn!G21</f>
        <v>18453750</v>
      </c>
      <c r="L78" s="294"/>
    </row>
    <row r="79" spans="1:12" s="102" customFormat="1" ht="15" x14ac:dyDescent="0.2">
      <c r="A79" s="176"/>
      <c r="B79" s="156"/>
      <c r="C79" s="176"/>
      <c r="D79" s="305"/>
      <c r="E79" s="150"/>
      <c r="F79" s="150"/>
      <c r="G79" s="150"/>
      <c r="H79" s="150"/>
      <c r="I79" s="150"/>
      <c r="J79" s="150"/>
      <c r="K79" s="150"/>
      <c r="L79" s="294"/>
    </row>
    <row r="80" spans="1:12" s="102" customFormat="1" ht="15" x14ac:dyDescent="0.2">
      <c r="A80" s="176"/>
      <c r="B80" s="156"/>
      <c r="C80" s="176"/>
      <c r="D80" s="305"/>
      <c r="E80" s="150"/>
      <c r="F80" s="150"/>
      <c r="G80" s="150"/>
      <c r="H80" s="150"/>
      <c r="I80" s="150"/>
      <c r="J80" s="150"/>
      <c r="K80" s="150"/>
      <c r="L80" s="294"/>
    </row>
    <row r="81" spans="1:15" s="102" customFormat="1" ht="15" x14ac:dyDescent="0.2">
      <c r="A81" s="896" t="s">
        <v>59</v>
      </c>
      <c r="B81" s="896" t="s">
        <v>92</v>
      </c>
      <c r="C81" s="487" t="s">
        <v>60</v>
      </c>
      <c r="D81" s="897" t="s">
        <v>61</v>
      </c>
      <c r="E81" s="487" t="s">
        <v>120</v>
      </c>
      <c r="F81" s="488" t="s">
        <v>11</v>
      </c>
      <c r="G81" s="898" t="s">
        <v>75</v>
      </c>
      <c r="H81" s="898"/>
      <c r="I81" s="489" t="s">
        <v>76</v>
      </c>
      <c r="J81" s="490" t="s">
        <v>77</v>
      </c>
      <c r="K81" s="488" t="s">
        <v>10</v>
      </c>
      <c r="L81" s="294"/>
    </row>
    <row r="82" spans="1:15" s="102" customFormat="1" ht="15" x14ac:dyDescent="0.2">
      <c r="A82" s="896"/>
      <c r="B82" s="896"/>
      <c r="C82" s="487" t="s">
        <v>131</v>
      </c>
      <c r="D82" s="897"/>
      <c r="E82" s="487" t="s">
        <v>1</v>
      </c>
      <c r="F82" s="488" t="s">
        <v>78</v>
      </c>
      <c r="G82" s="488" t="s">
        <v>23</v>
      </c>
      <c r="H82" s="488" t="s">
        <v>9</v>
      </c>
      <c r="I82" s="488" t="s">
        <v>23</v>
      </c>
      <c r="J82" s="488" t="s">
        <v>64</v>
      </c>
      <c r="K82" s="488" t="s">
        <v>91</v>
      </c>
      <c r="L82" s="294"/>
    </row>
    <row r="83" spans="1:15" s="102" customFormat="1" ht="15" x14ac:dyDescent="0.2">
      <c r="A83" s="176">
        <v>1</v>
      </c>
      <c r="B83" s="171" t="s">
        <v>161</v>
      </c>
      <c r="C83" s="176">
        <v>1</v>
      </c>
      <c r="D83" s="302" t="s">
        <v>96</v>
      </c>
      <c r="E83" s="153" t="s">
        <v>97</v>
      </c>
      <c r="F83" s="161">
        <f>GDSL!J58</f>
        <v>7000</v>
      </c>
      <c r="G83" s="161">
        <f>GDSL!I78</f>
        <v>1500</v>
      </c>
      <c r="H83" s="167">
        <f>GDSL!G78</f>
        <v>18960</v>
      </c>
      <c r="I83" s="161">
        <f t="shared" ref="I83:I89" si="3">G83-F83</f>
        <v>-5500</v>
      </c>
      <c r="J83" s="169">
        <f t="shared" ref="J83:J90" si="4">G83/F83%</f>
        <v>21.428571428571427</v>
      </c>
      <c r="K83" s="161">
        <f>GDSL!H78</f>
        <v>1536765696</v>
      </c>
      <c r="L83" s="586"/>
      <c r="M83" s="294"/>
      <c r="N83" s="294"/>
      <c r="O83" s="294"/>
    </row>
    <row r="84" spans="1:15" s="102" customFormat="1" ht="15" x14ac:dyDescent="0.2">
      <c r="A84" s="94">
        <v>2</v>
      </c>
      <c r="B84" s="171" t="s">
        <v>161</v>
      </c>
      <c r="C84" s="94">
        <v>2</v>
      </c>
      <c r="D84" s="302" t="s">
        <v>198</v>
      </c>
      <c r="E84" s="153" t="s">
        <v>95</v>
      </c>
      <c r="F84" s="161">
        <f>GDSL!J4</f>
        <v>10000</v>
      </c>
      <c r="G84" s="161">
        <f>GDSL!I33</f>
        <v>1050.95</v>
      </c>
      <c r="H84" s="167">
        <f>GDSL!G33</f>
        <v>12960</v>
      </c>
      <c r="I84" s="161">
        <f t="shared" si="3"/>
        <v>-8949.0499999999993</v>
      </c>
      <c r="J84" s="169">
        <f t="shared" si="4"/>
        <v>10.509500000000001</v>
      </c>
      <c r="K84" s="161">
        <f>GDSL!H33</f>
        <v>1047561390</v>
      </c>
      <c r="L84" s="586"/>
      <c r="M84" s="294"/>
      <c r="N84" s="294"/>
      <c r="O84" s="294"/>
    </row>
    <row r="85" spans="1:15" s="102" customFormat="1" ht="15" x14ac:dyDescent="0.2">
      <c r="A85" s="94"/>
      <c r="B85" s="93"/>
      <c r="C85" s="176">
        <v>3</v>
      </c>
      <c r="D85" s="302" t="s">
        <v>162</v>
      </c>
      <c r="E85" s="153" t="s">
        <v>136</v>
      </c>
      <c r="F85" s="161">
        <f>GDSL!J37</f>
        <v>5000</v>
      </c>
      <c r="G85" s="161">
        <f>GDSL!I53</f>
        <v>500</v>
      </c>
      <c r="H85" s="167">
        <f>GDSL!G53</f>
        <v>6360</v>
      </c>
      <c r="I85" s="161">
        <f t="shared" si="3"/>
        <v>-4500</v>
      </c>
      <c r="J85" s="169">
        <f t="shared" si="4"/>
        <v>10</v>
      </c>
      <c r="K85" s="161">
        <f>GDSL!H53</f>
        <v>512702784</v>
      </c>
      <c r="L85" s="586"/>
      <c r="M85" s="294"/>
      <c r="N85" s="294"/>
      <c r="O85" s="294"/>
    </row>
    <row r="86" spans="1:15" s="102" customFormat="1" ht="15" x14ac:dyDescent="0.2">
      <c r="A86" s="94">
        <v>3</v>
      </c>
      <c r="B86" s="171" t="s">
        <v>161</v>
      </c>
      <c r="C86" s="94">
        <v>4</v>
      </c>
      <c r="D86" s="302" t="s">
        <v>163</v>
      </c>
      <c r="E86" s="153" t="s">
        <v>102</v>
      </c>
      <c r="F86" s="161">
        <f>GDSL!J83</f>
        <v>55000</v>
      </c>
      <c r="G86" s="161">
        <f>GDSL!I129</f>
        <v>9000</v>
      </c>
      <c r="H86" s="167">
        <f>GDSL!G129</f>
        <v>112800</v>
      </c>
      <c r="I86" s="161">
        <f t="shared" si="3"/>
        <v>-46000</v>
      </c>
      <c r="J86" s="169">
        <f t="shared" si="4"/>
        <v>16.363636363636363</v>
      </c>
      <c r="K86" s="161">
        <f>GDSL!H129</f>
        <v>8894463300</v>
      </c>
      <c r="L86" s="586"/>
      <c r="M86" s="294"/>
      <c r="N86" s="294"/>
      <c r="O86" s="294"/>
    </row>
    <row r="87" spans="1:15" s="102" customFormat="1" ht="15" x14ac:dyDescent="0.2">
      <c r="A87" s="94">
        <v>4</v>
      </c>
      <c r="B87" s="171" t="s">
        <v>161</v>
      </c>
      <c r="C87" s="176">
        <v>5</v>
      </c>
      <c r="D87" s="302" t="s">
        <v>202</v>
      </c>
      <c r="E87" s="153" t="s">
        <v>103</v>
      </c>
      <c r="F87" s="161">
        <f>GDSL!J134</f>
        <v>7500</v>
      </c>
      <c r="G87" s="161">
        <f>GDSL!I159</f>
        <v>1700</v>
      </c>
      <c r="H87" s="167">
        <f>GDSL!G159</f>
        <v>21600</v>
      </c>
      <c r="I87" s="161">
        <f t="shared" si="3"/>
        <v>-5800</v>
      </c>
      <c r="J87" s="169">
        <f t="shared" si="4"/>
        <v>22.666666666666668</v>
      </c>
      <c r="K87" s="308">
        <f>GDSL!H159</f>
        <v>1764249984</v>
      </c>
      <c r="L87" s="586"/>
      <c r="M87" s="294"/>
      <c r="N87" s="294"/>
      <c r="O87" s="294"/>
    </row>
    <row r="88" spans="1:15" s="102" customFormat="1" ht="15" x14ac:dyDescent="0.2">
      <c r="A88" s="94"/>
      <c r="B88" s="93"/>
      <c r="C88" s="94">
        <v>6</v>
      </c>
      <c r="D88" s="302" t="s">
        <v>153</v>
      </c>
      <c r="E88" s="153" t="s">
        <v>103</v>
      </c>
      <c r="F88" s="161">
        <f>GDSL!J164</f>
        <v>5000</v>
      </c>
      <c r="G88" s="161">
        <f>GDSL!I180</f>
        <v>500</v>
      </c>
      <c r="H88" s="167">
        <f>GDSL!G180</f>
        <v>6120</v>
      </c>
      <c r="I88" s="161">
        <f t="shared" si="3"/>
        <v>-4500</v>
      </c>
      <c r="J88" s="169">
        <f t="shared" si="4"/>
        <v>10</v>
      </c>
      <c r="K88" s="161">
        <f>GDSL!H180</f>
        <v>494193312</v>
      </c>
      <c r="L88" s="586"/>
      <c r="M88" s="294"/>
      <c r="N88" s="294"/>
      <c r="O88" s="294"/>
    </row>
    <row r="89" spans="1:15" s="102" customFormat="1" ht="15" x14ac:dyDescent="0.2">
      <c r="A89" s="94">
        <v>5</v>
      </c>
      <c r="B89" s="171" t="s">
        <v>161</v>
      </c>
      <c r="C89" s="176">
        <v>7</v>
      </c>
      <c r="D89" s="302" t="s">
        <v>99</v>
      </c>
      <c r="E89" s="153" t="s">
        <v>100</v>
      </c>
      <c r="F89" s="161">
        <f>GDSL!J214</f>
        <v>5000</v>
      </c>
      <c r="G89" s="161">
        <f>GDSL!I227</f>
        <v>1000</v>
      </c>
      <c r="H89" s="167">
        <f>GDSL!G227</f>
        <v>12480</v>
      </c>
      <c r="I89" s="161">
        <f t="shared" si="3"/>
        <v>-4000</v>
      </c>
      <c r="J89" s="169">
        <f t="shared" si="4"/>
        <v>20</v>
      </c>
      <c r="K89" s="161">
        <f>GDSL!H227</f>
        <v>1004946048</v>
      </c>
      <c r="L89" s="586"/>
      <c r="M89" s="294"/>
      <c r="N89" s="294"/>
      <c r="O89" s="294"/>
    </row>
    <row r="90" spans="1:15" s="102" customFormat="1" ht="15" x14ac:dyDescent="0.2">
      <c r="A90" s="94"/>
      <c r="B90" s="93"/>
      <c r="C90" s="94"/>
      <c r="D90" s="302"/>
      <c r="E90" s="224" t="s">
        <v>34</v>
      </c>
      <c r="F90" s="225">
        <f>SUM(F83:F89)</f>
        <v>94500</v>
      </c>
      <c r="G90" s="225">
        <f>SUM(G83:G89)</f>
        <v>15250.95</v>
      </c>
      <c r="H90" s="229">
        <f>SUM(H83:H89)</f>
        <v>191280</v>
      </c>
      <c r="I90" s="225">
        <f>SUM(I83:I89)</f>
        <v>-79249.05</v>
      </c>
      <c r="J90" s="259">
        <f t="shared" si="4"/>
        <v>16.138571428571428</v>
      </c>
      <c r="K90" s="225">
        <f>SUM(K83:K89)</f>
        <v>15254882514</v>
      </c>
      <c r="L90" s="294"/>
      <c r="M90" s="294"/>
      <c r="N90" s="294"/>
      <c r="O90" s="294"/>
    </row>
    <row r="91" spans="1:15" s="102" customFormat="1" ht="15" x14ac:dyDescent="0.2">
      <c r="A91" s="174"/>
      <c r="B91" s="157"/>
      <c r="C91" s="174"/>
      <c r="D91" s="303"/>
      <c r="E91" s="151"/>
      <c r="F91" s="151"/>
      <c r="G91" s="151"/>
      <c r="H91" s="151"/>
      <c r="I91" s="151"/>
      <c r="J91" s="151"/>
      <c r="K91" s="151"/>
      <c r="L91" s="294"/>
    </row>
    <row r="92" spans="1:15" s="105" customFormat="1" ht="15.75" x14ac:dyDescent="0.25">
      <c r="A92" s="174"/>
      <c r="B92" s="891" t="s">
        <v>286</v>
      </c>
      <c r="C92" s="891"/>
      <c r="D92" s="891"/>
      <c r="E92" s="891"/>
      <c r="F92" s="270"/>
      <c r="G92" s="270"/>
      <c r="H92" s="270"/>
      <c r="I92" s="270"/>
      <c r="J92" s="270"/>
      <c r="K92" s="270"/>
      <c r="L92" s="373"/>
    </row>
    <row r="93" spans="1:15" s="105" customFormat="1" ht="15.75" x14ac:dyDescent="0.25">
      <c r="A93" s="174"/>
      <c r="B93" s="329" t="s">
        <v>0</v>
      </c>
      <c r="C93" s="330"/>
      <c r="D93" s="331" t="s">
        <v>34</v>
      </c>
      <c r="E93" s="332" t="s">
        <v>160</v>
      </c>
      <c r="F93" s="151"/>
      <c r="G93" s="151"/>
      <c r="H93" s="151"/>
      <c r="I93" s="151"/>
      <c r="J93" s="151"/>
      <c r="K93" s="151"/>
      <c r="L93" s="373"/>
    </row>
    <row r="94" spans="1:15" s="102" customFormat="1" ht="15" x14ac:dyDescent="0.2">
      <c r="A94" s="298"/>
      <c r="B94" s="299" t="s">
        <v>154</v>
      </c>
      <c r="C94" s="94" t="s">
        <v>155</v>
      </c>
      <c r="D94" s="309">
        <f>K8</f>
        <v>53768400</v>
      </c>
      <c r="E94" s="300">
        <f>J8</f>
        <v>8.75</v>
      </c>
      <c r="F94" s="34"/>
      <c r="G94" s="34"/>
      <c r="H94" s="34"/>
      <c r="I94" s="34"/>
      <c r="J94" s="34"/>
      <c r="K94" s="34"/>
      <c r="L94" s="294"/>
    </row>
    <row r="95" spans="1:15" s="102" customFormat="1" ht="15" x14ac:dyDescent="0.2">
      <c r="A95" s="298"/>
      <c r="B95" s="299" t="s">
        <v>156</v>
      </c>
      <c r="C95" s="94" t="s">
        <v>155</v>
      </c>
      <c r="D95" s="309">
        <f>K15</f>
        <v>0</v>
      </c>
      <c r="E95" s="300">
        <f>J15</f>
        <v>0</v>
      </c>
      <c r="F95" s="34"/>
      <c r="G95" s="34"/>
      <c r="H95" s="34"/>
      <c r="I95" s="34"/>
      <c r="J95" s="34"/>
      <c r="K95" s="34"/>
      <c r="L95" s="294"/>
    </row>
    <row r="96" spans="1:15" s="102" customFormat="1" ht="15" x14ac:dyDescent="0.2">
      <c r="A96" s="298"/>
      <c r="B96" s="299" t="s">
        <v>119</v>
      </c>
      <c r="C96" s="94" t="s">
        <v>155</v>
      </c>
      <c r="D96" s="309">
        <f>K23</f>
        <v>12000210</v>
      </c>
      <c r="E96" s="300">
        <f>J23</f>
        <v>1.0526315789473684</v>
      </c>
      <c r="F96" s="34"/>
      <c r="G96" s="34"/>
      <c r="H96" s="34"/>
      <c r="I96" s="34"/>
      <c r="J96" s="34"/>
      <c r="K96" s="34"/>
      <c r="L96" s="294"/>
    </row>
    <row r="97" spans="1:14" s="102" customFormat="1" ht="15" x14ac:dyDescent="0.2">
      <c r="A97" s="298"/>
      <c r="B97" s="299" t="s">
        <v>143</v>
      </c>
      <c r="C97" s="94" t="s">
        <v>155</v>
      </c>
      <c r="D97" s="309">
        <f>K30</f>
        <v>0</v>
      </c>
      <c r="E97" s="300">
        <f>J30</f>
        <v>0</v>
      </c>
      <c r="F97" s="34"/>
      <c r="G97" s="34"/>
      <c r="H97" s="34"/>
      <c r="I97" s="34"/>
      <c r="J97" s="34"/>
      <c r="K97" s="34"/>
      <c r="L97" s="294"/>
    </row>
    <row r="98" spans="1:14" s="102" customFormat="1" ht="15" x14ac:dyDescent="0.2">
      <c r="A98" s="298"/>
      <c r="B98" s="299" t="s">
        <v>157</v>
      </c>
      <c r="C98" s="94" t="s">
        <v>155</v>
      </c>
      <c r="D98" s="309">
        <f>K54</f>
        <v>711873636</v>
      </c>
      <c r="E98" s="300">
        <f>J54</f>
        <v>39.583333333333336</v>
      </c>
      <c r="F98" s="34"/>
      <c r="G98" s="34"/>
      <c r="H98" s="34"/>
      <c r="I98" s="34"/>
      <c r="J98" s="34"/>
      <c r="K98" s="34"/>
      <c r="L98" s="294"/>
    </row>
    <row r="99" spans="1:14" s="102" customFormat="1" ht="15" x14ac:dyDescent="0.2">
      <c r="A99" s="298"/>
      <c r="B99" s="299" t="s">
        <v>158</v>
      </c>
      <c r="C99" s="94" t="s">
        <v>155</v>
      </c>
      <c r="D99" s="309">
        <f>K61</f>
        <v>27195000</v>
      </c>
      <c r="E99" s="300">
        <f>J61</f>
        <v>17.5</v>
      </c>
      <c r="F99" s="34"/>
      <c r="G99" s="34"/>
      <c r="H99" s="34"/>
      <c r="I99" s="34"/>
      <c r="J99" s="34"/>
      <c r="K99" s="34"/>
      <c r="L99" s="294"/>
    </row>
    <row r="100" spans="1:14" s="102" customFormat="1" ht="15" x14ac:dyDescent="0.2">
      <c r="A100" s="298"/>
      <c r="B100" s="299" t="s">
        <v>159</v>
      </c>
      <c r="C100" s="94" t="s">
        <v>155</v>
      </c>
      <c r="D100" s="309">
        <f>K68</f>
        <v>461444760</v>
      </c>
      <c r="E100" s="300">
        <f>J68</f>
        <v>26.666666666666668</v>
      </c>
      <c r="F100" s="34"/>
      <c r="G100" s="34"/>
      <c r="H100" s="34"/>
      <c r="I100" s="34"/>
      <c r="J100" s="34"/>
      <c r="K100" s="34"/>
      <c r="L100" s="294"/>
    </row>
    <row r="101" spans="1:14" s="102" customFormat="1" ht="15" x14ac:dyDescent="0.2">
      <c r="A101" s="298"/>
      <c r="B101" s="299" t="s">
        <v>84</v>
      </c>
      <c r="C101" s="94" t="s">
        <v>155</v>
      </c>
      <c r="D101" s="309">
        <f>K90</f>
        <v>15254882514</v>
      </c>
      <c r="E101" s="300">
        <f>J90</f>
        <v>16.138571428571428</v>
      </c>
      <c r="F101" s="34"/>
      <c r="G101" s="34"/>
      <c r="H101" s="34"/>
      <c r="I101" s="34"/>
      <c r="J101" s="34"/>
      <c r="K101" s="34"/>
      <c r="L101" s="294"/>
    </row>
    <row r="102" spans="1:14" s="102" customFormat="1" ht="15.75" x14ac:dyDescent="0.25">
      <c r="A102" s="298"/>
      <c r="B102" s="295" t="s">
        <v>31</v>
      </c>
      <c r="C102" s="155" t="s">
        <v>155</v>
      </c>
      <c r="D102" s="339">
        <f>SUM(D94:D101)</f>
        <v>16521164520</v>
      </c>
      <c r="E102" s="149"/>
      <c r="F102" s="34"/>
      <c r="G102" s="34"/>
      <c r="H102" s="34"/>
      <c r="I102" s="34"/>
      <c r="J102" s="34"/>
      <c r="K102" s="34"/>
      <c r="L102" s="294"/>
    </row>
    <row r="103" spans="1:14" s="102" customFormat="1" ht="15" x14ac:dyDescent="0.2">
      <c r="A103" s="298"/>
      <c r="B103" s="159"/>
      <c r="C103" s="298"/>
      <c r="D103" s="307"/>
      <c r="E103" s="34"/>
      <c r="F103" s="34"/>
      <c r="G103" s="34"/>
      <c r="H103" s="34"/>
      <c r="I103" s="34"/>
      <c r="J103" s="34"/>
      <c r="K103" s="34"/>
      <c r="L103" s="294"/>
    </row>
    <row r="104" spans="1:14" s="102" customFormat="1" ht="15" x14ac:dyDescent="0.2">
      <c r="A104" s="298"/>
      <c r="B104" s="159"/>
      <c r="C104" s="298"/>
      <c r="D104" s="307"/>
      <c r="E104" s="34"/>
      <c r="F104" s="34"/>
      <c r="G104" s="34"/>
      <c r="H104" s="34"/>
      <c r="I104" s="34"/>
      <c r="J104" s="34"/>
      <c r="K104" s="34"/>
      <c r="L104" s="294"/>
    </row>
    <row r="105" spans="1:14" s="102" customFormat="1" ht="15" x14ac:dyDescent="0.2">
      <c r="A105" s="298"/>
      <c r="B105" s="159"/>
      <c r="C105" s="298"/>
      <c r="D105" s="307"/>
      <c r="E105" s="34"/>
      <c r="F105" s="34"/>
      <c r="G105" s="34"/>
      <c r="H105" s="34"/>
      <c r="I105" s="34"/>
      <c r="J105" s="34"/>
      <c r="K105" s="34"/>
      <c r="L105" s="294"/>
    </row>
    <row r="106" spans="1:14" s="102" customFormat="1" ht="15" x14ac:dyDescent="0.2">
      <c r="A106" s="298"/>
      <c r="B106" s="159"/>
      <c r="C106" s="298"/>
      <c r="D106" s="307"/>
      <c r="E106" s="34"/>
      <c r="F106" s="34"/>
      <c r="G106" s="34"/>
      <c r="H106" s="34"/>
      <c r="I106" s="34"/>
      <c r="J106" s="34"/>
      <c r="K106" s="34"/>
      <c r="L106" s="294"/>
    </row>
    <row r="107" spans="1:14" s="102" customFormat="1" ht="15" x14ac:dyDescent="0.2">
      <c r="A107" s="298"/>
      <c r="B107" s="159"/>
      <c r="C107" s="298"/>
      <c r="D107" s="307"/>
      <c r="E107" s="34"/>
      <c r="F107" s="34"/>
      <c r="G107" s="34"/>
      <c r="H107" s="34"/>
      <c r="I107" s="34"/>
      <c r="J107" s="34"/>
      <c r="K107" s="34"/>
      <c r="L107" s="294"/>
    </row>
    <row r="108" spans="1:14" s="102" customFormat="1" ht="15" x14ac:dyDescent="0.2">
      <c r="A108" s="298"/>
      <c r="B108" s="159"/>
      <c r="C108" s="298"/>
      <c r="D108" s="307"/>
      <c r="E108" s="34"/>
      <c r="F108" s="34"/>
      <c r="G108" s="34"/>
      <c r="H108" s="34"/>
      <c r="I108" s="34"/>
      <c r="J108" s="34"/>
      <c r="K108" s="34"/>
      <c r="L108" s="294"/>
    </row>
    <row r="109" spans="1:14" s="102" customFormat="1" ht="15" x14ac:dyDescent="0.2">
      <c r="A109" s="298"/>
      <c r="B109" s="159"/>
      <c r="C109" s="298"/>
      <c r="D109" s="307"/>
      <c r="E109" s="34"/>
      <c r="F109" s="34"/>
      <c r="G109" s="34"/>
      <c r="H109" s="34"/>
      <c r="I109" s="34"/>
      <c r="J109" s="34"/>
      <c r="K109" s="34"/>
      <c r="L109" s="294"/>
    </row>
    <row r="110" spans="1:14" s="102" customFormat="1" ht="15" x14ac:dyDescent="0.2">
      <c r="A110" s="298"/>
      <c r="B110" s="159"/>
      <c r="C110" s="298"/>
      <c r="D110" s="307"/>
      <c r="E110" s="34"/>
      <c r="F110" s="34"/>
      <c r="G110" s="34"/>
      <c r="H110" s="34"/>
      <c r="I110" s="34"/>
      <c r="J110" s="34"/>
      <c r="K110" s="34"/>
      <c r="L110" s="294"/>
    </row>
    <row r="111" spans="1:14" s="102" customFormat="1" ht="15" x14ac:dyDescent="0.2">
      <c r="A111" s="298"/>
      <c r="B111" s="159"/>
      <c r="C111" s="298"/>
      <c r="D111" s="307"/>
      <c r="E111" s="34"/>
      <c r="F111" s="34"/>
      <c r="G111" s="34"/>
      <c r="H111" s="34"/>
      <c r="I111" s="34"/>
      <c r="J111" s="34"/>
      <c r="K111" s="34"/>
      <c r="L111" s="294"/>
    </row>
    <row r="112" spans="1:14" s="102" customFormat="1" ht="15.75" x14ac:dyDescent="0.25">
      <c r="A112" s="298"/>
      <c r="B112" s="159"/>
      <c r="C112" s="298"/>
      <c r="D112" s="307"/>
      <c r="E112" s="34"/>
      <c r="F112" s="34"/>
      <c r="G112" s="34"/>
      <c r="H112" s="34"/>
      <c r="I112" s="34"/>
      <c r="J112" s="34"/>
      <c r="K112" s="34"/>
      <c r="L112" s="294"/>
      <c r="N112" s="405"/>
    </row>
    <row r="113" spans="1:12" s="102" customFormat="1" ht="15" x14ac:dyDescent="0.2">
      <c r="A113" s="298"/>
      <c r="B113" s="159"/>
      <c r="C113" s="298"/>
      <c r="D113" s="307"/>
      <c r="E113" s="34"/>
      <c r="F113" s="34"/>
      <c r="G113" s="34"/>
      <c r="H113" s="34"/>
      <c r="I113" s="34"/>
      <c r="J113" s="34"/>
      <c r="K113" s="34"/>
      <c r="L113" s="294"/>
    </row>
    <row r="114" spans="1:12" s="102" customFormat="1" ht="15" x14ac:dyDescent="0.2">
      <c r="A114" s="298"/>
      <c r="B114" s="159"/>
      <c r="C114" s="298"/>
      <c r="D114" s="307"/>
      <c r="E114" s="34"/>
      <c r="F114" s="34"/>
      <c r="G114" s="34"/>
      <c r="H114" s="34"/>
      <c r="I114" s="34"/>
      <c r="J114" s="34"/>
      <c r="K114" s="34"/>
      <c r="L114" s="294"/>
    </row>
    <row r="115" spans="1:12" s="102" customFormat="1" ht="15" x14ac:dyDescent="0.2">
      <c r="A115" s="298"/>
      <c r="B115" s="159"/>
      <c r="C115" s="298"/>
      <c r="D115" s="307"/>
      <c r="E115" s="34"/>
      <c r="F115" s="34"/>
      <c r="G115" s="34"/>
      <c r="H115" s="34"/>
      <c r="I115" s="34"/>
      <c r="J115" s="34"/>
      <c r="K115" s="34"/>
      <c r="L115" s="294"/>
    </row>
    <row r="116" spans="1:12" s="102" customFormat="1" ht="15" x14ac:dyDescent="0.2">
      <c r="A116" s="298"/>
      <c r="B116" s="159"/>
      <c r="C116" s="298"/>
      <c r="D116" s="307"/>
      <c r="E116" s="34"/>
      <c r="F116" s="34"/>
      <c r="G116" s="34"/>
      <c r="H116" s="34"/>
      <c r="I116" s="34"/>
      <c r="J116" s="34"/>
      <c r="K116" s="34"/>
      <c r="L116" s="294"/>
    </row>
    <row r="117" spans="1:12" s="102" customFormat="1" ht="15" x14ac:dyDescent="0.2">
      <c r="A117" s="298"/>
      <c r="B117" s="159"/>
      <c r="C117" s="298"/>
      <c r="D117" s="307"/>
      <c r="E117" s="34"/>
      <c r="F117" s="34"/>
      <c r="G117" s="34"/>
      <c r="H117" s="34"/>
      <c r="I117" s="34"/>
      <c r="J117" s="34"/>
      <c r="K117" s="34"/>
      <c r="L117" s="294"/>
    </row>
    <row r="118" spans="1:12" s="102" customFormat="1" ht="15" x14ac:dyDescent="0.2">
      <c r="A118" s="298"/>
      <c r="B118" s="159"/>
      <c r="C118" s="298"/>
      <c r="D118" s="307"/>
      <c r="E118" s="34"/>
      <c r="F118" s="34"/>
      <c r="G118" s="34"/>
      <c r="H118" s="34"/>
      <c r="I118" s="34"/>
      <c r="J118" s="34"/>
      <c r="K118" s="34"/>
      <c r="L118" s="294"/>
    </row>
    <row r="119" spans="1:12" s="102" customFormat="1" ht="15" x14ac:dyDescent="0.2">
      <c r="A119" s="298"/>
      <c r="B119" s="159"/>
      <c r="C119" s="298"/>
      <c r="D119" s="307"/>
      <c r="E119" s="34"/>
      <c r="F119" s="34"/>
      <c r="G119" s="34"/>
      <c r="H119" s="34"/>
      <c r="I119" s="34"/>
      <c r="J119" s="34"/>
      <c r="K119" s="34"/>
      <c r="L119" s="294"/>
    </row>
    <row r="120" spans="1:12" s="102" customFormat="1" ht="15" x14ac:dyDescent="0.2">
      <c r="A120" s="298"/>
      <c r="B120" s="159"/>
      <c r="C120" s="298"/>
      <c r="D120" s="307"/>
      <c r="E120" s="34"/>
      <c r="F120" s="34"/>
      <c r="G120" s="34"/>
      <c r="H120" s="34"/>
      <c r="I120" s="34"/>
      <c r="J120" s="34"/>
      <c r="K120" s="34"/>
      <c r="L120" s="294"/>
    </row>
    <row r="121" spans="1:12" s="102" customFormat="1" ht="15" x14ac:dyDescent="0.2">
      <c r="A121" s="298"/>
      <c r="B121" s="159"/>
      <c r="C121" s="298"/>
      <c r="D121" s="307"/>
      <c r="E121" s="34"/>
      <c r="F121" s="34"/>
      <c r="G121" s="34"/>
      <c r="H121" s="34"/>
      <c r="I121" s="34"/>
      <c r="J121" s="34"/>
      <c r="K121" s="34"/>
      <c r="L121" s="294"/>
    </row>
    <row r="122" spans="1:12" s="102" customFormat="1" ht="15" x14ac:dyDescent="0.2">
      <c r="A122" s="298"/>
      <c r="B122" s="159"/>
      <c r="C122" s="298"/>
      <c r="D122" s="307"/>
      <c r="E122" s="34"/>
      <c r="F122" s="34"/>
      <c r="G122" s="34"/>
      <c r="H122" s="34"/>
      <c r="I122" s="34"/>
      <c r="J122" s="34"/>
      <c r="K122" s="34"/>
      <c r="L122" s="294"/>
    </row>
    <row r="123" spans="1:12" s="102" customFormat="1" ht="15" x14ac:dyDescent="0.2">
      <c r="A123" s="298"/>
      <c r="B123" s="159"/>
      <c r="C123" s="298"/>
      <c r="D123" s="307"/>
      <c r="E123" s="34"/>
      <c r="F123" s="34"/>
      <c r="G123" s="34"/>
      <c r="H123" s="34"/>
      <c r="I123" s="34"/>
      <c r="J123" s="34"/>
      <c r="K123" s="34"/>
      <c r="L123" s="294"/>
    </row>
    <row r="124" spans="1:12" s="102" customFormat="1" ht="15" x14ac:dyDescent="0.2">
      <c r="A124" s="298"/>
      <c r="B124" s="159"/>
      <c r="C124" s="298"/>
      <c r="D124" s="307"/>
      <c r="E124" s="34"/>
      <c r="F124" s="34"/>
      <c r="G124" s="34"/>
      <c r="H124" s="34"/>
      <c r="I124" s="34"/>
      <c r="J124" s="34"/>
      <c r="K124" s="34"/>
      <c r="L124" s="294"/>
    </row>
    <row r="125" spans="1:12" s="102" customFormat="1" ht="15" x14ac:dyDescent="0.2">
      <c r="A125" s="298"/>
      <c r="B125" s="159"/>
      <c r="C125" s="298"/>
      <c r="D125" s="307"/>
      <c r="E125" s="34"/>
      <c r="F125" s="34"/>
      <c r="G125" s="34"/>
      <c r="H125" s="34"/>
      <c r="I125" s="34"/>
      <c r="J125" s="34"/>
      <c r="K125" s="34"/>
      <c r="L125" s="294"/>
    </row>
    <row r="126" spans="1:12" s="102" customFormat="1" ht="15" x14ac:dyDescent="0.2">
      <c r="A126" s="298"/>
      <c r="B126" s="159"/>
      <c r="C126" s="298"/>
      <c r="D126" s="307"/>
      <c r="E126" s="34"/>
      <c r="F126" s="34"/>
      <c r="G126" s="34"/>
      <c r="H126" s="34"/>
      <c r="I126" s="34"/>
      <c r="J126" s="34"/>
      <c r="K126" s="34"/>
      <c r="L126" s="294"/>
    </row>
    <row r="127" spans="1:12" s="102" customFormat="1" ht="15" x14ac:dyDescent="0.2">
      <c r="A127" s="298"/>
      <c r="B127" s="159"/>
      <c r="C127" s="298"/>
      <c r="D127" s="307"/>
      <c r="E127" s="34"/>
      <c r="F127" s="34"/>
      <c r="G127" s="34"/>
      <c r="H127" s="34"/>
      <c r="I127" s="34"/>
      <c r="J127" s="34"/>
      <c r="K127" s="34"/>
      <c r="L127" s="294"/>
    </row>
    <row r="128" spans="1:12" s="102" customFormat="1" ht="15" x14ac:dyDescent="0.2">
      <c r="A128" s="298"/>
      <c r="B128" s="159"/>
      <c r="C128" s="298"/>
      <c r="D128" s="307"/>
      <c r="E128" s="34"/>
      <c r="F128" s="34"/>
      <c r="G128" s="34"/>
      <c r="H128" s="34"/>
      <c r="I128" s="34"/>
      <c r="J128" s="34"/>
      <c r="K128" s="34"/>
      <c r="L128" s="294"/>
    </row>
    <row r="129" spans="1:12" s="102" customFormat="1" ht="15" x14ac:dyDescent="0.2">
      <c r="A129" s="298"/>
      <c r="B129" s="159"/>
      <c r="C129" s="298"/>
      <c r="D129" s="307"/>
      <c r="E129" s="34"/>
      <c r="F129" s="34"/>
      <c r="G129" s="34"/>
      <c r="H129" s="34"/>
      <c r="I129" s="34"/>
      <c r="J129" s="34"/>
      <c r="K129" s="34"/>
      <c r="L129" s="294"/>
    </row>
    <row r="130" spans="1:12" s="102" customFormat="1" ht="15" x14ac:dyDescent="0.2">
      <c r="A130" s="298"/>
      <c r="B130" s="159"/>
      <c r="C130" s="298"/>
      <c r="D130" s="307"/>
      <c r="E130" s="34"/>
      <c r="F130" s="34"/>
      <c r="G130" s="34"/>
      <c r="H130" s="34"/>
      <c r="I130" s="34"/>
      <c r="J130" s="34"/>
      <c r="K130" s="34"/>
      <c r="L130" s="294"/>
    </row>
    <row r="131" spans="1:12" s="102" customFormat="1" ht="15" x14ac:dyDescent="0.2">
      <c r="A131" s="298"/>
      <c r="B131" s="159"/>
      <c r="C131" s="298"/>
      <c r="D131" s="307"/>
      <c r="E131" s="34"/>
      <c r="F131" s="34"/>
      <c r="G131" s="34"/>
      <c r="H131" s="34"/>
      <c r="I131" s="34"/>
      <c r="J131" s="34"/>
      <c r="K131" s="34"/>
      <c r="L131" s="294"/>
    </row>
    <row r="132" spans="1:12" s="102" customFormat="1" ht="15" x14ac:dyDescent="0.2">
      <c r="A132" s="298"/>
      <c r="B132" s="159"/>
      <c r="C132" s="298"/>
      <c r="D132" s="307"/>
      <c r="E132" s="34"/>
      <c r="F132" s="34"/>
      <c r="G132" s="34"/>
      <c r="H132" s="34"/>
      <c r="I132" s="34"/>
      <c r="J132" s="34"/>
      <c r="K132" s="34"/>
      <c r="L132" s="294"/>
    </row>
    <row r="133" spans="1:12" s="102" customFormat="1" ht="15" x14ac:dyDescent="0.2">
      <c r="A133" s="298"/>
      <c r="B133" s="159"/>
      <c r="C133" s="298"/>
      <c r="D133" s="307"/>
      <c r="E133" s="34"/>
      <c r="F133" s="34"/>
      <c r="G133" s="34"/>
      <c r="H133" s="34"/>
      <c r="I133" s="34"/>
      <c r="J133" s="34"/>
      <c r="K133" s="34"/>
      <c r="L133" s="294"/>
    </row>
    <row r="134" spans="1:12" s="102" customFormat="1" ht="15" x14ac:dyDescent="0.2">
      <c r="A134" s="298"/>
      <c r="B134" s="159"/>
      <c r="C134" s="298"/>
      <c r="D134" s="307"/>
      <c r="E134" s="34"/>
      <c r="F134" s="34"/>
      <c r="G134" s="34"/>
      <c r="H134" s="34"/>
      <c r="I134" s="34"/>
      <c r="J134" s="34"/>
      <c r="K134" s="34"/>
      <c r="L134" s="294"/>
    </row>
    <row r="135" spans="1:12" s="102" customFormat="1" ht="15" x14ac:dyDescent="0.2">
      <c r="A135" s="298"/>
      <c r="B135" s="159"/>
      <c r="C135" s="298"/>
      <c r="D135" s="307"/>
      <c r="E135" s="34"/>
      <c r="F135" s="34"/>
      <c r="G135" s="34"/>
      <c r="H135" s="34"/>
      <c r="I135" s="34"/>
      <c r="J135" s="34"/>
      <c r="K135" s="34"/>
      <c r="L135" s="294"/>
    </row>
    <row r="136" spans="1:12" s="102" customFormat="1" ht="15" x14ac:dyDescent="0.2">
      <c r="A136" s="298"/>
      <c r="B136" s="159"/>
      <c r="C136" s="298"/>
      <c r="D136" s="307"/>
      <c r="E136" s="34"/>
      <c r="F136" s="34"/>
      <c r="G136" s="34"/>
      <c r="H136" s="34"/>
      <c r="I136" s="34"/>
      <c r="J136" s="34"/>
      <c r="K136" s="34"/>
      <c r="L136" s="294"/>
    </row>
    <row r="137" spans="1:12" s="102" customFormat="1" ht="15" x14ac:dyDescent="0.2">
      <c r="A137" s="298"/>
      <c r="B137" s="159"/>
      <c r="C137" s="298"/>
      <c r="D137" s="307"/>
      <c r="E137" s="34"/>
      <c r="F137" s="34"/>
      <c r="G137" s="34"/>
      <c r="H137" s="34"/>
      <c r="I137" s="34"/>
      <c r="J137" s="34"/>
      <c r="K137" s="34"/>
      <c r="L137" s="294"/>
    </row>
    <row r="138" spans="1:12" s="102" customFormat="1" ht="15" x14ac:dyDescent="0.2">
      <c r="A138" s="298"/>
      <c r="B138" s="159"/>
      <c r="C138" s="298"/>
      <c r="D138" s="307"/>
      <c r="E138" s="34"/>
      <c r="F138" s="34"/>
      <c r="G138" s="34"/>
      <c r="H138" s="34"/>
      <c r="I138" s="34"/>
      <c r="J138" s="34"/>
      <c r="K138" s="34"/>
      <c r="L138" s="294"/>
    </row>
    <row r="139" spans="1:12" s="102" customFormat="1" ht="15" x14ac:dyDescent="0.2">
      <c r="A139" s="298"/>
      <c r="B139" s="159"/>
      <c r="C139" s="298"/>
      <c r="D139" s="307"/>
      <c r="E139" s="34"/>
      <c r="F139" s="34"/>
      <c r="G139" s="34"/>
      <c r="H139" s="34"/>
      <c r="I139" s="34"/>
      <c r="J139" s="34"/>
      <c r="K139" s="34"/>
      <c r="L139" s="294"/>
    </row>
    <row r="140" spans="1:12" s="102" customFormat="1" ht="15" x14ac:dyDescent="0.2">
      <c r="A140" s="298"/>
      <c r="B140" s="159"/>
      <c r="C140" s="298"/>
      <c r="D140" s="307"/>
      <c r="E140" s="34"/>
      <c r="F140" s="34"/>
      <c r="G140" s="34"/>
      <c r="H140" s="34"/>
      <c r="I140" s="34"/>
      <c r="J140" s="34"/>
      <c r="K140" s="34"/>
      <c r="L140" s="294"/>
    </row>
    <row r="141" spans="1:12" s="102" customFormat="1" ht="15" x14ac:dyDescent="0.2">
      <c r="A141" s="298"/>
      <c r="B141" s="159"/>
      <c r="C141" s="298"/>
      <c r="D141" s="307"/>
      <c r="E141" s="34"/>
      <c r="F141" s="34"/>
      <c r="G141" s="34"/>
      <c r="H141" s="34"/>
      <c r="I141" s="34"/>
      <c r="J141" s="34"/>
      <c r="K141" s="34"/>
      <c r="L141" s="294"/>
    </row>
    <row r="142" spans="1:12" s="102" customFormat="1" ht="15" x14ac:dyDescent="0.2">
      <c r="A142" s="298"/>
      <c r="B142" s="159"/>
      <c r="C142" s="298"/>
      <c r="D142" s="307"/>
      <c r="E142" s="34"/>
      <c r="F142" s="34"/>
      <c r="G142" s="34"/>
      <c r="H142" s="34"/>
      <c r="I142" s="34"/>
      <c r="J142" s="34"/>
      <c r="K142" s="34"/>
      <c r="L142" s="294"/>
    </row>
    <row r="143" spans="1:12" s="102" customFormat="1" ht="15" x14ac:dyDescent="0.2">
      <c r="A143" s="298"/>
      <c r="B143" s="159"/>
      <c r="C143" s="298"/>
      <c r="D143" s="307"/>
      <c r="E143" s="34"/>
      <c r="F143" s="34"/>
      <c r="G143" s="34"/>
      <c r="H143" s="34"/>
      <c r="I143" s="34"/>
      <c r="J143" s="34"/>
      <c r="K143" s="34"/>
      <c r="L143" s="294"/>
    </row>
    <row r="144" spans="1:12" s="102" customFormat="1" ht="15" x14ac:dyDescent="0.2">
      <c r="A144" s="298"/>
      <c r="B144" s="159"/>
      <c r="C144" s="298"/>
      <c r="D144" s="307"/>
      <c r="E144" s="34"/>
      <c r="F144" s="34"/>
      <c r="G144" s="34"/>
      <c r="H144" s="34"/>
      <c r="I144" s="34"/>
      <c r="J144" s="34"/>
      <c r="K144" s="34"/>
      <c r="L144" s="294"/>
    </row>
    <row r="145" spans="1:12" s="102" customFormat="1" ht="15" x14ac:dyDescent="0.2">
      <c r="A145" s="298"/>
      <c r="B145" s="159"/>
      <c r="C145" s="298"/>
      <c r="D145" s="307"/>
      <c r="E145" s="34"/>
      <c r="F145" s="34"/>
      <c r="G145" s="34"/>
      <c r="H145" s="34"/>
      <c r="I145" s="34"/>
      <c r="J145" s="34"/>
      <c r="K145" s="34"/>
      <c r="L145" s="294"/>
    </row>
    <row r="146" spans="1:12" s="102" customFormat="1" ht="15" x14ac:dyDescent="0.2">
      <c r="A146" s="298"/>
      <c r="B146" s="159"/>
      <c r="C146" s="298"/>
      <c r="D146" s="307"/>
      <c r="E146" s="34"/>
      <c r="F146" s="34"/>
      <c r="G146" s="34"/>
      <c r="H146" s="34"/>
      <c r="I146" s="34"/>
      <c r="J146" s="34"/>
      <c r="K146" s="34"/>
      <c r="L146" s="294"/>
    </row>
    <row r="147" spans="1:12" s="102" customFormat="1" ht="15" x14ac:dyDescent="0.2">
      <c r="A147" s="298"/>
      <c r="B147" s="159"/>
      <c r="C147" s="298"/>
      <c r="D147" s="307"/>
      <c r="E147" s="34"/>
      <c r="F147" s="34"/>
      <c r="G147" s="34"/>
      <c r="H147" s="34"/>
      <c r="I147" s="34"/>
      <c r="J147" s="34"/>
      <c r="K147" s="34"/>
      <c r="L147" s="294"/>
    </row>
    <row r="148" spans="1:12" s="102" customFormat="1" ht="15" x14ac:dyDescent="0.2">
      <c r="A148" s="298"/>
      <c r="B148" s="159"/>
      <c r="C148" s="298"/>
      <c r="D148" s="307"/>
      <c r="E148" s="34"/>
      <c r="F148" s="34"/>
      <c r="G148" s="34"/>
      <c r="H148" s="34"/>
      <c r="I148" s="34"/>
      <c r="J148" s="34"/>
      <c r="K148" s="34"/>
      <c r="L148" s="294"/>
    </row>
    <row r="149" spans="1:12" s="102" customFormat="1" ht="15" x14ac:dyDescent="0.2">
      <c r="A149" s="298"/>
      <c r="B149" s="159"/>
      <c r="C149" s="298"/>
      <c r="D149" s="307"/>
      <c r="E149" s="34"/>
      <c r="F149" s="34"/>
      <c r="G149" s="34"/>
      <c r="H149" s="34"/>
      <c r="I149" s="34"/>
      <c r="J149" s="34"/>
      <c r="K149" s="34"/>
      <c r="L149" s="294"/>
    </row>
    <row r="150" spans="1:12" s="102" customFormat="1" ht="15" x14ac:dyDescent="0.2">
      <c r="A150" s="298"/>
      <c r="B150" s="159"/>
      <c r="C150" s="298"/>
      <c r="D150" s="307"/>
      <c r="E150" s="34"/>
      <c r="F150" s="34"/>
      <c r="G150" s="34"/>
      <c r="H150" s="34"/>
      <c r="I150" s="34"/>
      <c r="J150" s="34"/>
      <c r="K150" s="34"/>
      <c r="L150" s="294"/>
    </row>
    <row r="151" spans="1:12" s="102" customFormat="1" ht="15" x14ac:dyDescent="0.2">
      <c r="A151" s="298"/>
      <c r="B151" s="159"/>
      <c r="C151" s="298"/>
      <c r="D151" s="307"/>
      <c r="E151" s="34"/>
      <c r="F151" s="34"/>
      <c r="G151" s="34"/>
      <c r="H151" s="34"/>
      <c r="I151" s="34"/>
      <c r="J151" s="34"/>
      <c r="K151" s="34"/>
      <c r="L151" s="294"/>
    </row>
    <row r="152" spans="1:12" s="102" customFormat="1" ht="15" x14ac:dyDescent="0.2">
      <c r="A152" s="298"/>
      <c r="B152" s="159"/>
      <c r="C152" s="298"/>
      <c r="D152" s="307"/>
      <c r="E152" s="34"/>
      <c r="F152" s="34"/>
      <c r="G152" s="34"/>
      <c r="H152" s="34"/>
      <c r="I152" s="34"/>
      <c r="J152" s="34"/>
      <c r="K152" s="34"/>
      <c r="L152" s="294"/>
    </row>
    <row r="153" spans="1:12" s="102" customFormat="1" ht="15" x14ac:dyDescent="0.2">
      <c r="A153" s="298"/>
      <c r="B153" s="159"/>
      <c r="C153" s="298"/>
      <c r="D153" s="307"/>
      <c r="E153" s="34"/>
      <c r="F153" s="34"/>
      <c r="G153" s="34"/>
      <c r="H153" s="34"/>
      <c r="I153" s="34"/>
      <c r="J153" s="34"/>
      <c r="K153" s="34"/>
      <c r="L153" s="294"/>
    </row>
    <row r="154" spans="1:12" s="102" customFormat="1" ht="15" x14ac:dyDescent="0.2">
      <c r="A154" s="298"/>
      <c r="B154" s="159"/>
      <c r="C154" s="298"/>
      <c r="D154" s="307"/>
      <c r="E154" s="34"/>
      <c r="F154" s="34"/>
      <c r="G154" s="34"/>
      <c r="H154" s="34"/>
      <c r="I154" s="34"/>
      <c r="J154" s="34"/>
      <c r="K154" s="34"/>
      <c r="L154" s="294"/>
    </row>
    <row r="155" spans="1:12" s="102" customFormat="1" ht="15" x14ac:dyDescent="0.2">
      <c r="A155" s="298"/>
      <c r="B155" s="159"/>
      <c r="C155" s="298"/>
      <c r="D155" s="307"/>
      <c r="E155" s="34"/>
      <c r="F155" s="34"/>
      <c r="G155" s="34"/>
      <c r="H155" s="34"/>
      <c r="I155" s="34"/>
      <c r="J155" s="34"/>
      <c r="K155" s="34"/>
      <c r="L155" s="294"/>
    </row>
    <row r="156" spans="1:12" s="102" customFormat="1" ht="15" x14ac:dyDescent="0.2">
      <c r="A156" s="298"/>
      <c r="B156" s="159"/>
      <c r="C156" s="298"/>
      <c r="D156" s="307"/>
      <c r="E156" s="34"/>
      <c r="F156" s="34"/>
      <c r="G156" s="34"/>
      <c r="H156" s="34"/>
      <c r="I156" s="34"/>
      <c r="J156" s="34"/>
      <c r="K156" s="34"/>
      <c r="L156" s="294"/>
    </row>
    <row r="157" spans="1:12" s="102" customFormat="1" ht="15" x14ac:dyDescent="0.2">
      <c r="A157" s="298"/>
      <c r="B157" s="159"/>
      <c r="C157" s="298"/>
      <c r="D157" s="307"/>
      <c r="E157" s="34"/>
      <c r="F157" s="34"/>
      <c r="G157" s="34"/>
      <c r="H157" s="34"/>
      <c r="I157" s="34"/>
      <c r="J157" s="34"/>
      <c r="K157" s="34"/>
      <c r="L157" s="294"/>
    </row>
    <row r="158" spans="1:12" s="102" customFormat="1" ht="15" x14ac:dyDescent="0.2">
      <c r="A158" s="298"/>
      <c r="B158" s="159"/>
      <c r="C158" s="298"/>
      <c r="D158" s="307"/>
      <c r="E158" s="34"/>
      <c r="F158" s="34"/>
      <c r="G158" s="34"/>
      <c r="H158" s="34"/>
      <c r="I158" s="34"/>
      <c r="J158" s="34"/>
      <c r="K158" s="34"/>
      <c r="L158" s="294"/>
    </row>
    <row r="159" spans="1:12" s="102" customFormat="1" ht="15" x14ac:dyDescent="0.2">
      <c r="A159" s="298"/>
      <c r="B159" s="159"/>
      <c r="C159" s="298"/>
      <c r="D159" s="307"/>
      <c r="E159" s="34"/>
      <c r="F159" s="34"/>
      <c r="G159" s="34"/>
      <c r="H159" s="34"/>
      <c r="I159" s="34"/>
      <c r="J159" s="34"/>
      <c r="K159" s="34"/>
      <c r="L159" s="294"/>
    </row>
    <row r="160" spans="1:12" s="102" customFormat="1" ht="15" x14ac:dyDescent="0.2">
      <c r="A160" s="298"/>
      <c r="B160" s="159"/>
      <c r="C160" s="298"/>
      <c r="D160" s="307"/>
      <c r="E160" s="34"/>
      <c r="F160" s="34"/>
      <c r="G160" s="34"/>
      <c r="H160" s="34"/>
      <c r="I160" s="34"/>
      <c r="J160" s="34"/>
      <c r="K160" s="34"/>
      <c r="L160" s="294"/>
    </row>
    <row r="161" spans="1:12" s="102" customFormat="1" ht="15" x14ac:dyDescent="0.2">
      <c r="A161" s="298"/>
      <c r="B161" s="159"/>
      <c r="C161" s="298"/>
      <c r="D161" s="307"/>
      <c r="E161" s="34"/>
      <c r="F161" s="34"/>
      <c r="G161" s="34"/>
      <c r="H161" s="34"/>
      <c r="I161" s="34"/>
      <c r="J161" s="34"/>
      <c r="K161" s="34"/>
      <c r="L161" s="294"/>
    </row>
    <row r="162" spans="1:12" s="102" customFormat="1" ht="15" x14ac:dyDescent="0.2">
      <c r="A162" s="298"/>
      <c r="B162" s="159"/>
      <c r="C162" s="298"/>
      <c r="D162" s="307"/>
      <c r="E162" s="34"/>
      <c r="F162" s="34"/>
      <c r="G162" s="34"/>
      <c r="H162" s="34"/>
      <c r="I162" s="34"/>
      <c r="J162" s="34"/>
      <c r="K162" s="34"/>
      <c r="L162" s="294"/>
    </row>
    <row r="163" spans="1:12" s="102" customFormat="1" ht="15" x14ac:dyDescent="0.2">
      <c r="A163" s="298"/>
      <c r="B163" s="159"/>
      <c r="C163" s="298"/>
      <c r="D163" s="307"/>
      <c r="E163" s="34"/>
      <c r="F163" s="34"/>
      <c r="G163" s="34"/>
      <c r="H163" s="34"/>
      <c r="I163" s="34"/>
      <c r="J163" s="34"/>
      <c r="K163" s="34"/>
      <c r="L163" s="294"/>
    </row>
    <row r="164" spans="1:12" s="102" customFormat="1" ht="15" x14ac:dyDescent="0.2">
      <c r="A164" s="298"/>
      <c r="B164" s="159"/>
      <c r="C164" s="298"/>
      <c r="D164" s="307"/>
      <c r="E164" s="34"/>
      <c r="F164" s="34"/>
      <c r="G164" s="34"/>
      <c r="H164" s="34"/>
      <c r="I164" s="34"/>
      <c r="J164" s="34"/>
      <c r="K164" s="34"/>
      <c r="L164" s="294"/>
    </row>
    <row r="165" spans="1:12" s="102" customFormat="1" ht="15" x14ac:dyDescent="0.2">
      <c r="A165" s="298"/>
      <c r="B165" s="159"/>
      <c r="C165" s="298"/>
      <c r="D165" s="307"/>
      <c r="E165" s="34"/>
      <c r="F165" s="34"/>
      <c r="G165" s="34"/>
      <c r="H165" s="34"/>
      <c r="I165" s="34"/>
      <c r="J165" s="34"/>
      <c r="K165" s="34"/>
      <c r="L165" s="294"/>
    </row>
    <row r="166" spans="1:12" s="102" customFormat="1" ht="15" x14ac:dyDescent="0.2">
      <c r="A166" s="298"/>
      <c r="B166" s="159"/>
      <c r="C166" s="298"/>
      <c r="D166" s="307"/>
      <c r="E166" s="34"/>
      <c r="F166" s="34"/>
      <c r="G166" s="34"/>
      <c r="H166" s="34"/>
      <c r="I166" s="34"/>
      <c r="J166" s="34"/>
      <c r="K166" s="34"/>
      <c r="L166" s="294"/>
    </row>
    <row r="167" spans="1:12" s="102" customFormat="1" ht="15" x14ac:dyDescent="0.2">
      <c r="A167" s="298"/>
      <c r="B167" s="159"/>
      <c r="C167" s="298"/>
      <c r="D167" s="307"/>
      <c r="E167" s="34"/>
      <c r="F167" s="34"/>
      <c r="G167" s="34"/>
      <c r="H167" s="34"/>
      <c r="I167" s="34"/>
      <c r="J167" s="34"/>
      <c r="K167" s="34"/>
      <c r="L167" s="294"/>
    </row>
    <row r="168" spans="1:12" s="102" customFormat="1" ht="15" x14ac:dyDescent="0.2">
      <c r="A168" s="298"/>
      <c r="B168" s="159"/>
      <c r="C168" s="298"/>
      <c r="D168" s="307"/>
      <c r="E168" s="34"/>
      <c r="F168" s="34"/>
      <c r="G168" s="34"/>
      <c r="H168" s="34"/>
      <c r="I168" s="34"/>
      <c r="J168" s="34"/>
      <c r="K168" s="34"/>
      <c r="L168" s="294"/>
    </row>
    <row r="169" spans="1:12" s="102" customFormat="1" ht="15" x14ac:dyDescent="0.2">
      <c r="A169" s="298"/>
      <c r="B169" s="159"/>
      <c r="C169" s="298"/>
      <c r="D169" s="307"/>
      <c r="E169" s="34"/>
      <c r="F169" s="34"/>
      <c r="G169" s="34"/>
      <c r="H169" s="34"/>
      <c r="I169" s="34"/>
      <c r="J169" s="34"/>
      <c r="K169" s="34"/>
      <c r="L169" s="294"/>
    </row>
    <row r="170" spans="1:12" s="102" customFormat="1" ht="15" x14ac:dyDescent="0.2">
      <c r="A170" s="298"/>
      <c r="B170" s="159"/>
      <c r="C170" s="298"/>
      <c r="D170" s="307"/>
      <c r="E170" s="34"/>
      <c r="F170" s="34"/>
      <c r="G170" s="34"/>
      <c r="H170" s="34"/>
      <c r="I170" s="34"/>
      <c r="J170" s="34"/>
      <c r="K170" s="34"/>
      <c r="L170" s="294"/>
    </row>
    <row r="171" spans="1:12" s="102" customFormat="1" ht="15" x14ac:dyDescent="0.2">
      <c r="A171" s="298"/>
      <c r="B171" s="159"/>
      <c r="C171" s="298"/>
      <c r="D171" s="307"/>
      <c r="E171" s="34"/>
      <c r="F171" s="34"/>
      <c r="G171" s="34"/>
      <c r="H171" s="34"/>
      <c r="I171" s="34"/>
      <c r="J171" s="34"/>
      <c r="K171" s="34"/>
      <c r="L171" s="294"/>
    </row>
  </sheetData>
  <mergeCells count="53">
    <mergeCell ref="A1:K1"/>
    <mergeCell ref="A2:K2"/>
    <mergeCell ref="D3:D4"/>
    <mergeCell ref="B3:B4"/>
    <mergeCell ref="D18:D19"/>
    <mergeCell ref="A3:A4"/>
    <mergeCell ref="G3:H3"/>
    <mergeCell ref="G11:H11"/>
    <mergeCell ref="D11:D12"/>
    <mergeCell ref="A11:A12"/>
    <mergeCell ref="A18:A19"/>
    <mergeCell ref="B11:B12"/>
    <mergeCell ref="D64:D65"/>
    <mergeCell ref="G18:H18"/>
    <mergeCell ref="D45:D46"/>
    <mergeCell ref="B32:B33"/>
    <mergeCell ref="D32:D33"/>
    <mergeCell ref="G32:H32"/>
    <mergeCell ref="A39:A40"/>
    <mergeCell ref="B39:B40"/>
    <mergeCell ref="G81:H81"/>
    <mergeCell ref="A45:A46"/>
    <mergeCell ref="A26:A27"/>
    <mergeCell ref="B26:B27"/>
    <mergeCell ref="D26:D27"/>
    <mergeCell ref="B45:B46"/>
    <mergeCell ref="G26:H26"/>
    <mergeCell ref="G64:H64"/>
    <mergeCell ref="G45:H45"/>
    <mergeCell ref="A32:A33"/>
    <mergeCell ref="B92:E92"/>
    <mergeCell ref="B57:B58"/>
    <mergeCell ref="D57:D58"/>
    <mergeCell ref="G57:H57"/>
    <mergeCell ref="A64:A65"/>
    <mergeCell ref="B64:B65"/>
    <mergeCell ref="A57:A58"/>
    <mergeCell ref="A81:A82"/>
    <mergeCell ref="B81:B82"/>
    <mergeCell ref="D81:D82"/>
    <mergeCell ref="D39:D40"/>
    <mergeCell ref="G39:H39"/>
    <mergeCell ref="B70:B71"/>
    <mergeCell ref="L18:M18"/>
    <mergeCell ref="L26:M26"/>
    <mergeCell ref="B18:B19"/>
    <mergeCell ref="A70:A71"/>
    <mergeCell ref="D70:D71"/>
    <mergeCell ref="G70:H70"/>
    <mergeCell ref="A75:A76"/>
    <mergeCell ref="B75:B76"/>
    <mergeCell ref="D75:D76"/>
    <mergeCell ref="G75:H75"/>
  </mergeCells>
  <phoneticPr fontId="17" type="noConversion"/>
  <pageMargins left="0.38" right="0" top="0.39370078740157483" bottom="0.39370078740157483" header="0.51181102362204722" footer="0.51181102362204722"/>
  <pageSetup orientation="portrait" horizontalDpi="180" verticalDpi="18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3DE01-8500-4AD5-BC2C-309F513B7F4A}">
  <dimension ref="A1:O108"/>
  <sheetViews>
    <sheetView workbookViewId="0">
      <selection sqref="A1:M13"/>
    </sheetView>
  </sheetViews>
  <sheetFormatPr defaultRowHeight="12.75" x14ac:dyDescent="0.2"/>
  <cols>
    <col min="1" max="1" width="5.7109375" style="298" customWidth="1"/>
    <col min="2" max="2" width="4.5703125" style="298" customWidth="1"/>
    <col min="3" max="3" width="21.28515625" style="159" customWidth="1"/>
    <col min="4" max="4" width="5.42578125" style="159" customWidth="1"/>
    <col min="5" max="5" width="15.42578125" style="159" customWidth="1"/>
    <col min="6" max="6" width="7" style="159" customWidth="1"/>
    <col min="7" max="7" width="9.85546875" style="159" bestFit="1" customWidth="1"/>
    <col min="8" max="8" width="9.7109375" style="281" customWidth="1"/>
    <col min="9" max="9" width="8.42578125" style="159" customWidth="1"/>
    <col min="10" max="10" width="11.140625" style="159" customWidth="1"/>
    <col min="11" max="11" width="13.28515625" style="159" customWidth="1"/>
    <col min="12" max="12" width="16" style="71" customWidth="1"/>
    <col min="13" max="13" width="17.28515625" style="71" customWidth="1"/>
    <col min="14" max="14" width="9.140625" style="71"/>
    <col min="15" max="15" width="17.42578125" customWidth="1"/>
  </cols>
  <sheetData>
    <row r="1" spans="1:15" s="177" customFormat="1" ht="18" x14ac:dyDescent="0.25">
      <c r="A1" s="788" t="s">
        <v>287</v>
      </c>
      <c r="B1" s="788"/>
      <c r="C1" s="788"/>
      <c r="D1" s="788"/>
      <c r="E1" s="788"/>
      <c r="F1" s="788"/>
      <c r="G1" s="788"/>
      <c r="H1" s="788"/>
      <c r="I1" s="788"/>
      <c r="J1" s="788"/>
      <c r="K1" s="788"/>
      <c r="L1" s="367"/>
      <c r="M1" s="367"/>
      <c r="N1" s="367"/>
    </row>
    <row r="3" spans="1:15" s="32" customFormat="1" x14ac:dyDescent="0.2">
      <c r="A3" s="914" t="s">
        <v>59</v>
      </c>
      <c r="B3" s="238" t="s">
        <v>60</v>
      </c>
      <c r="C3" s="915" t="s">
        <v>73</v>
      </c>
      <c r="D3" s="341" t="s">
        <v>60</v>
      </c>
      <c r="E3" s="914" t="s">
        <v>74</v>
      </c>
      <c r="F3" s="188" t="s">
        <v>11</v>
      </c>
      <c r="G3" s="917" t="s">
        <v>75</v>
      </c>
      <c r="H3" s="917"/>
      <c r="I3" s="189" t="s">
        <v>76</v>
      </c>
      <c r="J3" s="188" t="s">
        <v>77</v>
      </c>
      <c r="K3" s="408" t="s">
        <v>10</v>
      </c>
      <c r="L3" s="409" t="s">
        <v>185</v>
      </c>
      <c r="M3" s="409" t="s">
        <v>185</v>
      </c>
      <c r="N3" s="282"/>
    </row>
    <row r="4" spans="1:15" s="32" customFormat="1" x14ac:dyDescent="0.2">
      <c r="A4" s="914"/>
      <c r="B4" s="238" t="s">
        <v>167</v>
      </c>
      <c r="C4" s="916"/>
      <c r="D4" s="572" t="s">
        <v>177</v>
      </c>
      <c r="E4" s="914"/>
      <c r="F4" s="188" t="s">
        <v>78</v>
      </c>
      <c r="G4" s="188" t="s">
        <v>23</v>
      </c>
      <c r="H4" s="442" t="s">
        <v>79</v>
      </c>
      <c r="I4" s="188" t="s">
        <v>23</v>
      </c>
      <c r="J4" s="188" t="s">
        <v>64</v>
      </c>
      <c r="K4" s="408" t="s">
        <v>91</v>
      </c>
      <c r="L4" s="409" t="s">
        <v>184</v>
      </c>
      <c r="M4" s="409" t="s">
        <v>186</v>
      </c>
      <c r="N4" s="282"/>
    </row>
    <row r="5" spans="1:15" s="97" customFormat="1" ht="15" x14ac:dyDescent="0.2">
      <c r="A5" s="178">
        <v>1</v>
      </c>
      <c r="B5" s="178">
        <v>1</v>
      </c>
      <c r="C5" s="363" t="s">
        <v>66</v>
      </c>
      <c r="D5" s="364">
        <v>1</v>
      </c>
      <c r="E5" s="365" t="s">
        <v>84</v>
      </c>
      <c r="F5" s="191">
        <f>GDSL!J58</f>
        <v>7000</v>
      </c>
      <c r="G5" s="193">
        <f>GDSL!I78</f>
        <v>1500</v>
      </c>
      <c r="H5" s="255">
        <f>GDSL!G78</f>
        <v>18960</v>
      </c>
      <c r="I5" s="191">
        <f t="shared" ref="I5:I11" si="0">G5-F5</f>
        <v>-5500</v>
      </c>
      <c r="J5" s="192">
        <f t="shared" ref="J5:J11" si="1">G5/F5%</f>
        <v>21.428571428571427</v>
      </c>
      <c r="K5" s="410">
        <f>GDSL!H78</f>
        <v>1536765696</v>
      </c>
      <c r="L5" s="423"/>
      <c r="M5" s="422"/>
      <c r="N5" s="293"/>
    </row>
    <row r="6" spans="1:15" s="97" customFormat="1" ht="15" x14ac:dyDescent="0.2">
      <c r="A6" s="178"/>
      <c r="B6" s="178"/>
      <c r="C6" s="363" t="s">
        <v>67</v>
      </c>
      <c r="D6" s="364">
        <v>2</v>
      </c>
      <c r="E6" s="366" t="s">
        <v>80</v>
      </c>
      <c r="F6" s="191">
        <f>Gdpn!I4</f>
        <v>160</v>
      </c>
      <c r="G6" s="193">
        <f>Gdpn!H13</f>
        <v>0</v>
      </c>
      <c r="H6" s="255">
        <f>Gdpn!F13</f>
        <v>0</v>
      </c>
      <c r="I6" s="191">
        <f t="shared" si="0"/>
        <v>-160</v>
      </c>
      <c r="J6" s="192">
        <f t="shared" si="1"/>
        <v>0</v>
      </c>
      <c r="K6" s="410">
        <f>Gdpn!G13</f>
        <v>0</v>
      </c>
      <c r="L6" s="423"/>
      <c r="M6" s="422"/>
      <c r="N6" s="293"/>
    </row>
    <row r="7" spans="1:15" s="97" customFormat="1" ht="15" x14ac:dyDescent="0.2">
      <c r="A7" s="178"/>
      <c r="B7" s="178"/>
      <c r="C7" s="363"/>
      <c r="D7" s="364">
        <v>3</v>
      </c>
      <c r="E7" s="366" t="s">
        <v>240</v>
      </c>
      <c r="F7" s="191">
        <f>Mstfl!I4</f>
        <v>300</v>
      </c>
      <c r="G7" s="193">
        <f>Mstfl!H19</f>
        <v>0</v>
      </c>
      <c r="H7" s="255">
        <f>Mstfl!F19</f>
        <v>0</v>
      </c>
      <c r="I7" s="191">
        <f>G7-F7</f>
        <v>-300</v>
      </c>
      <c r="J7" s="192">
        <f t="shared" si="1"/>
        <v>0</v>
      </c>
      <c r="K7" s="410">
        <f>Mstfl!G19</f>
        <v>0</v>
      </c>
      <c r="L7" s="423"/>
      <c r="M7" s="422"/>
      <c r="N7" s="293"/>
    </row>
    <row r="8" spans="1:15" s="97" customFormat="1" ht="15" x14ac:dyDescent="0.2">
      <c r="A8" s="178"/>
      <c r="B8" s="178"/>
      <c r="C8" s="363"/>
      <c r="D8" s="364">
        <v>4</v>
      </c>
      <c r="E8" s="366" t="s">
        <v>242</v>
      </c>
      <c r="F8" s="191">
        <f>Dkg!I4</f>
        <v>50</v>
      </c>
      <c r="G8" s="193">
        <f>Dkg!H19</f>
        <v>0</v>
      </c>
      <c r="H8" s="255">
        <f>Dkg!F19</f>
        <v>0</v>
      </c>
      <c r="I8" s="191">
        <f t="shared" si="0"/>
        <v>-50</v>
      </c>
      <c r="J8" s="192">
        <f t="shared" si="1"/>
        <v>0</v>
      </c>
      <c r="K8" s="410">
        <f>Dkg!G19</f>
        <v>0</v>
      </c>
      <c r="L8" s="423"/>
      <c r="M8" s="422"/>
      <c r="N8" s="293"/>
    </row>
    <row r="9" spans="1:15" s="97" customFormat="1" ht="15" x14ac:dyDescent="0.2">
      <c r="A9" s="178"/>
      <c r="B9" s="178"/>
      <c r="C9" s="363"/>
      <c r="D9" s="364">
        <v>5</v>
      </c>
      <c r="E9" s="190" t="s">
        <v>150</v>
      </c>
      <c r="F9" s="191">
        <f>Zn!G4</f>
        <v>250</v>
      </c>
      <c r="G9" s="193">
        <f>Zn!F13</f>
        <v>0</v>
      </c>
      <c r="H9" s="255">
        <f>Zn!D13</f>
        <v>0</v>
      </c>
      <c r="I9" s="191">
        <f t="shared" si="0"/>
        <v>-250</v>
      </c>
      <c r="J9" s="192">
        <f t="shared" si="1"/>
        <v>0</v>
      </c>
      <c r="K9" s="410">
        <f>Zn!E13</f>
        <v>0</v>
      </c>
      <c r="L9" s="423"/>
      <c r="M9" s="422"/>
      <c r="N9" s="293"/>
    </row>
    <row r="10" spans="1:15" s="97" customFormat="1" ht="15" x14ac:dyDescent="0.2">
      <c r="A10" s="178"/>
      <c r="B10" s="178"/>
      <c r="C10" s="363"/>
      <c r="D10" s="364">
        <v>6</v>
      </c>
      <c r="E10" s="190" t="s">
        <v>83</v>
      </c>
      <c r="F10" s="193">
        <f>'Dkm 1,2'!G4</f>
        <v>100</v>
      </c>
      <c r="G10" s="193">
        <f>'Dkm 1,2'!F14</f>
        <v>35</v>
      </c>
      <c r="H10" s="255">
        <f>'Dkm 1,2'!D14</f>
        <v>350</v>
      </c>
      <c r="I10" s="190">
        <f t="shared" si="0"/>
        <v>-65</v>
      </c>
      <c r="J10" s="192">
        <f t="shared" si="1"/>
        <v>35</v>
      </c>
      <c r="K10" s="410">
        <f>'Dkm 1,2'!E14</f>
        <v>27195000</v>
      </c>
      <c r="L10" s="423"/>
      <c r="M10" s="422"/>
      <c r="N10" s="293"/>
    </row>
    <row r="11" spans="1:15" s="97" customFormat="1" ht="15" x14ac:dyDescent="0.2">
      <c r="A11" s="178"/>
      <c r="B11" s="178"/>
      <c r="C11" s="363"/>
      <c r="D11" s="364">
        <v>7</v>
      </c>
      <c r="E11" s="190" t="s">
        <v>82</v>
      </c>
      <c r="F11" s="191">
        <f>Msg!K4</f>
        <v>50</v>
      </c>
      <c r="G11" s="191">
        <f>Msg!J15</f>
        <v>0</v>
      </c>
      <c r="H11" s="255">
        <f>Msg!H15</f>
        <v>0</v>
      </c>
      <c r="I11" s="190">
        <f t="shared" si="0"/>
        <v>-50</v>
      </c>
      <c r="J11" s="192">
        <f t="shared" si="1"/>
        <v>0</v>
      </c>
      <c r="K11" s="410">
        <f>Msg!I15</f>
        <v>0</v>
      </c>
      <c r="L11" s="423"/>
      <c r="M11" s="446"/>
      <c r="N11" s="293"/>
    </row>
    <row r="12" spans="1:15" s="97" customFormat="1" ht="15" x14ac:dyDescent="0.2">
      <c r="A12" s="178"/>
      <c r="B12" s="178"/>
      <c r="C12" s="363"/>
      <c r="D12" s="364">
        <v>8</v>
      </c>
      <c r="E12" s="190" t="s">
        <v>283</v>
      </c>
      <c r="F12" s="191">
        <f>Vlmk!I4</f>
        <v>50</v>
      </c>
      <c r="G12" s="191">
        <f>Vlmk!H21</f>
        <v>0</v>
      </c>
      <c r="H12" s="255">
        <f>Vlmk!F21</f>
        <v>0</v>
      </c>
      <c r="I12" s="190">
        <f>G12-F12</f>
        <v>-50</v>
      </c>
      <c r="J12" s="192">
        <f>G12/F12%</f>
        <v>0</v>
      </c>
      <c r="K12" s="410">
        <f>Vlmk!G21</f>
        <v>0</v>
      </c>
      <c r="L12" s="423"/>
      <c r="M12" s="446"/>
      <c r="N12" s="293"/>
    </row>
    <row r="13" spans="1:15" s="97" customFormat="1" ht="15" x14ac:dyDescent="0.2">
      <c r="A13" s="178"/>
      <c r="B13" s="178"/>
      <c r="C13" s="178"/>
      <c r="D13" s="178"/>
      <c r="E13" s="190"/>
      <c r="F13" s="191"/>
      <c r="G13" s="193"/>
      <c r="H13" s="255"/>
      <c r="I13" s="190"/>
      <c r="J13" s="194" t="s">
        <v>90</v>
      </c>
      <c r="K13" s="411">
        <f>SUM(K5:K12)</f>
        <v>1563960696</v>
      </c>
      <c r="L13" s="458">
        <f>AVERAGE(J5:J11)</f>
        <v>8.0612244897959187</v>
      </c>
      <c r="M13" s="422"/>
      <c r="N13" s="293"/>
      <c r="O13" s="460"/>
    </row>
    <row r="14" spans="1:15" s="97" customFormat="1" ht="15" x14ac:dyDescent="0.2">
      <c r="A14" s="178"/>
      <c r="B14" s="178"/>
      <c r="C14" s="178"/>
      <c r="D14" s="178"/>
      <c r="E14" s="190"/>
      <c r="F14" s="191"/>
      <c r="G14" s="193"/>
      <c r="H14" s="255"/>
      <c r="I14" s="190"/>
      <c r="J14" s="194"/>
      <c r="K14" s="411"/>
      <c r="L14" s="423"/>
      <c r="M14" s="422"/>
      <c r="N14" s="293"/>
    </row>
    <row r="15" spans="1:15" s="97" customFormat="1" ht="15" x14ac:dyDescent="0.2">
      <c r="A15" s="174"/>
      <c r="B15" s="174"/>
      <c r="C15" s="174"/>
      <c r="D15" s="174"/>
      <c r="E15" s="157"/>
      <c r="F15" s="157"/>
      <c r="G15" s="157"/>
      <c r="H15" s="427"/>
      <c r="I15" s="157"/>
      <c r="J15" s="195"/>
      <c r="K15" s="159"/>
      <c r="L15" s="423"/>
      <c r="M15" s="422"/>
      <c r="N15" s="293"/>
    </row>
    <row r="16" spans="1:15" s="97" customFormat="1" ht="15" x14ac:dyDescent="0.2">
      <c r="A16" s="174"/>
      <c r="B16" s="174"/>
      <c r="C16" s="174"/>
      <c r="D16" s="174"/>
      <c r="E16" s="157"/>
      <c r="F16" s="157"/>
      <c r="G16" s="157"/>
      <c r="H16" s="427"/>
      <c r="I16" s="157"/>
      <c r="J16" s="195"/>
      <c r="K16" s="159"/>
      <c r="L16" s="423"/>
      <c r="M16" s="422"/>
      <c r="N16" s="293"/>
      <c r="O16" s="460"/>
    </row>
    <row r="17" spans="1:15" s="97" customFormat="1" ht="15" x14ac:dyDescent="0.2">
      <c r="A17" s="914" t="s">
        <v>59</v>
      </c>
      <c r="B17" s="238" t="s">
        <v>60</v>
      </c>
      <c r="C17" s="915" t="s">
        <v>73</v>
      </c>
      <c r="D17" s="341" t="s">
        <v>60</v>
      </c>
      <c r="E17" s="914" t="s">
        <v>74</v>
      </c>
      <c r="F17" s="188" t="s">
        <v>11</v>
      </c>
      <c r="G17" s="917" t="s">
        <v>75</v>
      </c>
      <c r="H17" s="917"/>
      <c r="I17" s="189" t="s">
        <v>76</v>
      </c>
      <c r="J17" s="188" t="s">
        <v>77</v>
      </c>
      <c r="K17" s="408" t="s">
        <v>10</v>
      </c>
      <c r="L17" s="423"/>
      <c r="M17" s="422"/>
      <c r="N17" s="293"/>
    </row>
    <row r="18" spans="1:15" s="97" customFormat="1" ht="15" x14ac:dyDescent="0.2">
      <c r="A18" s="914"/>
      <c r="B18" s="238" t="s">
        <v>129</v>
      </c>
      <c r="C18" s="916"/>
      <c r="D18" s="572" t="s">
        <v>177</v>
      </c>
      <c r="E18" s="914"/>
      <c r="F18" s="188" t="s">
        <v>78</v>
      </c>
      <c r="G18" s="188" t="s">
        <v>23</v>
      </c>
      <c r="H18" s="442" t="s">
        <v>79</v>
      </c>
      <c r="I18" s="188" t="s">
        <v>23</v>
      </c>
      <c r="J18" s="188" t="s">
        <v>64</v>
      </c>
      <c r="K18" s="408" t="s">
        <v>91</v>
      </c>
      <c r="L18" s="423"/>
      <c r="M18" s="422"/>
      <c r="N18" s="293"/>
    </row>
    <row r="19" spans="1:15" s="97" customFormat="1" ht="15" x14ac:dyDescent="0.2">
      <c r="A19" s="179">
        <v>2</v>
      </c>
      <c r="B19" s="179">
        <v>1</v>
      </c>
      <c r="C19" s="181" t="s">
        <v>203</v>
      </c>
      <c r="D19" s="179">
        <v>1</v>
      </c>
      <c r="E19" s="200" t="s">
        <v>84</v>
      </c>
      <c r="F19" s="197">
        <f>GDSL!J4</f>
        <v>10000</v>
      </c>
      <c r="G19" s="197">
        <f>GDSL!I33</f>
        <v>1050.95</v>
      </c>
      <c r="H19" s="255">
        <f>GDSL!G33</f>
        <v>12960</v>
      </c>
      <c r="I19" s="180">
        <f>G19-F19</f>
        <v>-8949.0499999999993</v>
      </c>
      <c r="J19" s="196">
        <f>G19/F19%</f>
        <v>10.509500000000001</v>
      </c>
      <c r="K19" s="412">
        <f>GDSL!H33</f>
        <v>1047561390</v>
      </c>
      <c r="L19" s="423"/>
      <c r="M19" s="422"/>
      <c r="N19" s="293"/>
    </row>
    <row r="20" spans="1:15" s="97" customFormat="1" ht="15" x14ac:dyDescent="0.2">
      <c r="A20" s="179"/>
      <c r="B20" s="179"/>
      <c r="C20" s="181" t="s">
        <v>68</v>
      </c>
      <c r="D20" s="179">
        <v>2</v>
      </c>
      <c r="E20" s="180" t="s">
        <v>81</v>
      </c>
      <c r="F20" s="197">
        <f>'Dkm Cair'!I15</f>
        <v>600</v>
      </c>
      <c r="G20" s="197">
        <f>'Dkm Cair'!H30</f>
        <v>50</v>
      </c>
      <c r="H20" s="255">
        <f>'Dkm Cair'!F30</f>
        <v>250</v>
      </c>
      <c r="I20" s="180">
        <f>G20-F20</f>
        <v>-550</v>
      </c>
      <c r="J20" s="196">
        <f>G20/F20%</f>
        <v>8.3333333333333339</v>
      </c>
      <c r="K20" s="412">
        <f>'Dkm Cair'!G30</f>
        <v>47805480</v>
      </c>
      <c r="L20" s="423"/>
      <c r="M20" s="422"/>
      <c r="N20" s="293"/>
    </row>
    <row r="21" spans="1:15" s="97" customFormat="1" ht="15" x14ac:dyDescent="0.2">
      <c r="A21" s="179"/>
      <c r="B21" s="179"/>
      <c r="C21" s="181"/>
      <c r="D21" s="179"/>
      <c r="E21" s="180"/>
      <c r="F21" s="197"/>
      <c r="G21" s="197"/>
      <c r="H21" s="255"/>
      <c r="I21" s="180"/>
      <c r="J21" s="198" t="s">
        <v>90</v>
      </c>
      <c r="K21" s="413">
        <f>SUM(K19:K20)</f>
        <v>1095366870</v>
      </c>
      <c r="L21" s="458">
        <f>AVERAGE(J19:J20)</f>
        <v>9.4214166666666674</v>
      </c>
      <c r="M21" s="422"/>
      <c r="N21" s="293"/>
    </row>
    <row r="22" spans="1:15" s="97" customFormat="1" ht="15" x14ac:dyDescent="0.2">
      <c r="A22" s="179"/>
      <c r="B22" s="179"/>
      <c r="C22" s="181"/>
      <c r="D22" s="179"/>
      <c r="E22" s="180"/>
      <c r="F22" s="197"/>
      <c r="G22" s="197"/>
      <c r="H22" s="255"/>
      <c r="I22" s="180"/>
      <c r="J22" s="198"/>
      <c r="K22" s="413"/>
      <c r="L22" s="423"/>
      <c r="M22" s="422"/>
      <c r="N22" s="293"/>
    </row>
    <row r="23" spans="1:15" s="97" customFormat="1" ht="15" x14ac:dyDescent="0.2">
      <c r="A23" s="179"/>
      <c r="B23" s="179"/>
      <c r="C23" s="181"/>
      <c r="D23" s="179"/>
      <c r="E23" s="180"/>
      <c r="F23" s="197"/>
      <c r="G23" s="197"/>
      <c r="H23" s="255"/>
      <c r="I23" s="180"/>
      <c r="J23" s="198"/>
      <c r="K23" s="413"/>
      <c r="L23" s="423"/>
      <c r="M23" s="422"/>
      <c r="N23" s="293"/>
    </row>
    <row r="24" spans="1:15" s="97" customFormat="1" ht="15" x14ac:dyDescent="0.2">
      <c r="A24" s="179">
        <v>2</v>
      </c>
      <c r="B24" s="179">
        <v>2</v>
      </c>
      <c r="C24" s="181" t="s">
        <v>133</v>
      </c>
      <c r="D24" s="179">
        <v>1</v>
      </c>
      <c r="E24" s="200" t="s">
        <v>84</v>
      </c>
      <c r="F24" s="199">
        <f>GDSL!J37</f>
        <v>5000</v>
      </c>
      <c r="G24" s="199">
        <f>GDSL!I53</f>
        <v>500</v>
      </c>
      <c r="H24" s="443">
        <f>GDSL!G54</f>
        <v>0</v>
      </c>
      <c r="I24" s="199">
        <f>F24-G24</f>
        <v>4500</v>
      </c>
      <c r="J24" s="196">
        <f>G24/F24%</f>
        <v>10</v>
      </c>
      <c r="K24" s="413">
        <f>GDSL!H53</f>
        <v>512702784</v>
      </c>
      <c r="L24" s="424"/>
      <c r="M24" s="422"/>
      <c r="N24" s="293"/>
    </row>
    <row r="25" spans="1:15" s="97" customFormat="1" ht="15" x14ac:dyDescent="0.2">
      <c r="A25" s="179"/>
      <c r="B25" s="179"/>
      <c r="C25" s="181" t="s">
        <v>130</v>
      </c>
      <c r="D25" s="179"/>
      <c r="E25" s="180"/>
      <c r="F25" s="197"/>
      <c r="G25" s="197"/>
      <c r="H25" s="254"/>
      <c r="I25" s="180"/>
      <c r="J25" s="198" t="s">
        <v>90</v>
      </c>
      <c r="K25" s="413">
        <f>SUM(K24:K24)</f>
        <v>512702784</v>
      </c>
      <c r="L25" s="459">
        <f>AVERAGE(J24)</f>
        <v>10</v>
      </c>
      <c r="M25" s="422"/>
      <c r="N25" s="293"/>
    </row>
    <row r="26" spans="1:15" s="97" customFormat="1" ht="15" x14ac:dyDescent="0.2">
      <c r="A26" s="179"/>
      <c r="B26" s="179"/>
      <c r="C26" s="181"/>
      <c r="D26" s="179"/>
      <c r="E26" s="180"/>
      <c r="F26" s="197"/>
      <c r="G26" s="197"/>
      <c r="H26" s="255"/>
      <c r="I26" s="180"/>
      <c r="J26" s="196"/>
      <c r="K26" s="412"/>
      <c r="L26" s="423"/>
      <c r="M26" s="422"/>
      <c r="N26" s="293"/>
    </row>
    <row r="27" spans="1:15" s="97" customFormat="1" ht="15" x14ac:dyDescent="0.2">
      <c r="A27" s="209"/>
      <c r="B27" s="209"/>
      <c r="C27" s="210"/>
      <c r="D27" s="209"/>
      <c r="E27" s="211"/>
      <c r="F27" s="212"/>
      <c r="G27" s="212"/>
      <c r="H27" s="255"/>
      <c r="I27" s="211"/>
      <c r="J27" s="213"/>
      <c r="K27" s="414"/>
      <c r="L27" s="423"/>
      <c r="M27" s="422"/>
      <c r="N27" s="293"/>
    </row>
    <row r="28" spans="1:15" s="97" customFormat="1" ht="15" x14ac:dyDescent="0.2">
      <c r="A28" s="914" t="s">
        <v>59</v>
      </c>
      <c r="B28" s="238" t="s">
        <v>60</v>
      </c>
      <c r="C28" s="915" t="s">
        <v>73</v>
      </c>
      <c r="D28" s="341" t="s">
        <v>60</v>
      </c>
      <c r="E28" s="914" t="s">
        <v>74</v>
      </c>
      <c r="F28" s="188" t="s">
        <v>11</v>
      </c>
      <c r="G28" s="917" t="s">
        <v>75</v>
      </c>
      <c r="H28" s="917"/>
      <c r="I28" s="189" t="s">
        <v>76</v>
      </c>
      <c r="J28" s="188" t="s">
        <v>77</v>
      </c>
      <c r="K28" s="408" t="s">
        <v>10</v>
      </c>
      <c r="L28" s="423"/>
      <c r="M28" s="422"/>
      <c r="N28" s="293"/>
    </row>
    <row r="29" spans="1:15" s="97" customFormat="1" ht="15" x14ac:dyDescent="0.2">
      <c r="A29" s="914"/>
      <c r="B29" s="238" t="s">
        <v>129</v>
      </c>
      <c r="C29" s="916"/>
      <c r="D29" s="572" t="s">
        <v>177</v>
      </c>
      <c r="E29" s="914"/>
      <c r="F29" s="188" t="s">
        <v>78</v>
      </c>
      <c r="G29" s="188" t="s">
        <v>23</v>
      </c>
      <c r="H29" s="442" t="s">
        <v>79</v>
      </c>
      <c r="I29" s="188" t="s">
        <v>9</v>
      </c>
      <c r="J29" s="188" t="s">
        <v>64</v>
      </c>
      <c r="K29" s="408" t="s">
        <v>91</v>
      </c>
      <c r="L29" s="423"/>
      <c r="M29" s="422"/>
      <c r="N29" s="293"/>
      <c r="O29" s="460"/>
    </row>
    <row r="30" spans="1:15" s="293" customFormat="1" ht="15" x14ac:dyDescent="0.2">
      <c r="A30" s="310">
        <v>3</v>
      </c>
      <c r="B30" s="310">
        <v>1</v>
      </c>
      <c r="C30" s="314" t="s">
        <v>249</v>
      </c>
      <c r="D30" s="313">
        <v>1</v>
      </c>
      <c r="E30" s="318" t="s">
        <v>84</v>
      </c>
      <c r="F30" s="316">
        <f>GDSL!J83</f>
        <v>55000</v>
      </c>
      <c r="G30" s="316">
        <f>GDSL!I129</f>
        <v>9000</v>
      </c>
      <c r="H30" s="316">
        <f>GDSL!G129</f>
        <v>112800</v>
      </c>
      <c r="I30" s="311">
        <f>G30-F30</f>
        <v>-46000</v>
      </c>
      <c r="J30" s="312">
        <f>G30/F30%</f>
        <v>16.363636363636363</v>
      </c>
      <c r="K30" s="415">
        <f>GDSL!H129</f>
        <v>8894463300</v>
      </c>
      <c r="L30" s="423"/>
      <c r="M30" s="422"/>
    </row>
    <row r="31" spans="1:15" s="293" customFormat="1" ht="15" x14ac:dyDescent="0.2">
      <c r="A31" s="310"/>
      <c r="B31" s="310"/>
      <c r="C31" s="314" t="s">
        <v>85</v>
      </c>
      <c r="D31" s="313">
        <v>2</v>
      </c>
      <c r="E31" s="311" t="s">
        <v>81</v>
      </c>
      <c r="F31" s="316">
        <f>'Dkm Cair'!I35</f>
        <v>1200</v>
      </c>
      <c r="G31" s="316">
        <f>'Dkm Cair'!H61</f>
        <v>135</v>
      </c>
      <c r="H31" s="316">
        <f>'Dkm Cair'!F61</f>
        <v>2420</v>
      </c>
      <c r="I31" s="311">
        <f>G31-F31</f>
        <v>-1065</v>
      </c>
      <c r="J31" s="312">
        <f>G31/F31%</f>
        <v>11.25</v>
      </c>
      <c r="K31" s="415">
        <f>'Dkm Cair'!G61</f>
        <v>176449596</v>
      </c>
      <c r="L31" s="423"/>
      <c r="M31" s="422"/>
    </row>
    <row r="32" spans="1:15" s="293" customFormat="1" ht="15" x14ac:dyDescent="0.2">
      <c r="A32" s="310"/>
      <c r="B32" s="310"/>
      <c r="C32" s="314"/>
      <c r="D32" s="313">
        <v>3</v>
      </c>
      <c r="E32" s="311" t="s">
        <v>243</v>
      </c>
      <c r="F32" s="316">
        <f>Dkprm!I4</f>
        <v>1000</v>
      </c>
      <c r="G32" s="316">
        <f>Dkprm!F16</f>
        <v>0</v>
      </c>
      <c r="H32" s="316">
        <f>Dkprm!H16</f>
        <v>150</v>
      </c>
      <c r="I32" s="311">
        <f>G32-F32</f>
        <v>-1000</v>
      </c>
      <c r="J32" s="312">
        <f>G32/F32%</f>
        <v>0</v>
      </c>
      <c r="K32" s="415">
        <f>Dkprm!G16</f>
        <v>136241400</v>
      </c>
      <c r="L32" s="423"/>
      <c r="M32" s="422"/>
    </row>
    <row r="33" spans="1:15" s="293" customFormat="1" ht="15" x14ac:dyDescent="0.2">
      <c r="A33" s="310"/>
      <c r="B33" s="310"/>
      <c r="C33" s="314"/>
      <c r="D33" s="313">
        <v>4</v>
      </c>
      <c r="E33" s="311" t="s">
        <v>244</v>
      </c>
      <c r="F33" s="316">
        <f>Dktn!I4</f>
        <v>1000</v>
      </c>
      <c r="G33" s="316">
        <f>Dktn!H21</f>
        <v>12.5</v>
      </c>
      <c r="H33" s="316">
        <f>Dktn!F21</f>
        <v>5</v>
      </c>
      <c r="I33" s="311">
        <f>G33-F33</f>
        <v>-987.5</v>
      </c>
      <c r="J33" s="312">
        <f>G33/F33%</f>
        <v>1.25</v>
      </c>
      <c r="K33" s="415">
        <f>Dktn!G21</f>
        <v>18453750</v>
      </c>
      <c r="L33" s="423"/>
      <c r="M33" s="422"/>
    </row>
    <row r="34" spans="1:15" s="293" customFormat="1" ht="15" x14ac:dyDescent="0.2">
      <c r="A34" s="310"/>
      <c r="B34" s="310"/>
      <c r="C34" s="310"/>
      <c r="D34" s="342"/>
      <c r="E34" s="317"/>
      <c r="F34" s="319"/>
      <c r="G34" s="319"/>
      <c r="H34" s="319"/>
      <c r="I34" s="319"/>
      <c r="J34" s="315" t="s">
        <v>90</v>
      </c>
      <c r="K34" s="416">
        <f>SUM(K30:K33)</f>
        <v>9225608046</v>
      </c>
      <c r="L34" s="458">
        <f>AVERAGE(J30:J31)</f>
        <v>13.806818181818182</v>
      </c>
      <c r="M34" s="422"/>
      <c r="O34" s="374"/>
    </row>
    <row r="35" spans="1:15" s="293" customFormat="1" ht="15" x14ac:dyDescent="0.2">
      <c r="A35" s="447"/>
      <c r="B35" s="447"/>
      <c r="C35" s="447"/>
      <c r="D35" s="337"/>
      <c r="E35" s="336"/>
      <c r="F35" s="444"/>
      <c r="G35" s="444"/>
      <c r="H35" s="444"/>
      <c r="I35" s="444"/>
      <c r="J35" s="547"/>
      <c r="K35" s="548"/>
      <c r="L35" s="423"/>
      <c r="M35" s="422"/>
    </row>
    <row r="36" spans="1:15" s="293" customFormat="1" ht="15" x14ac:dyDescent="0.2">
      <c r="A36" s="447"/>
      <c r="B36" s="447"/>
      <c r="C36" s="447"/>
      <c r="D36" s="337"/>
      <c r="E36" s="336"/>
      <c r="F36" s="444"/>
      <c r="G36" s="444"/>
      <c r="H36" s="444"/>
      <c r="I36" s="444"/>
      <c r="J36" s="547"/>
      <c r="K36" s="548"/>
      <c r="L36" s="423"/>
      <c r="M36" s="422"/>
    </row>
    <row r="37" spans="1:15" s="293" customFormat="1" ht="15" x14ac:dyDescent="0.2">
      <c r="A37" s="914" t="s">
        <v>59</v>
      </c>
      <c r="B37" s="238" t="s">
        <v>60</v>
      </c>
      <c r="C37" s="915" t="s">
        <v>73</v>
      </c>
      <c r="D37" s="341" t="s">
        <v>60</v>
      </c>
      <c r="E37" s="914" t="s">
        <v>74</v>
      </c>
      <c r="F37" s="188" t="s">
        <v>11</v>
      </c>
      <c r="G37" s="917" t="s">
        <v>75</v>
      </c>
      <c r="H37" s="917"/>
      <c r="I37" s="189" t="s">
        <v>76</v>
      </c>
      <c r="J37" s="188" t="s">
        <v>77</v>
      </c>
      <c r="K37" s="408" t="s">
        <v>10</v>
      </c>
      <c r="L37" s="423"/>
      <c r="M37" s="422"/>
    </row>
    <row r="38" spans="1:15" s="293" customFormat="1" ht="15" x14ac:dyDescent="0.2">
      <c r="A38" s="914"/>
      <c r="B38" s="238" t="s">
        <v>129</v>
      </c>
      <c r="C38" s="916"/>
      <c r="D38" s="572" t="s">
        <v>177</v>
      </c>
      <c r="E38" s="914"/>
      <c r="F38" s="188" t="s">
        <v>78</v>
      </c>
      <c r="G38" s="188" t="s">
        <v>23</v>
      </c>
      <c r="H38" s="546" t="s">
        <v>79</v>
      </c>
      <c r="I38" s="188" t="s">
        <v>9</v>
      </c>
      <c r="J38" s="188" t="s">
        <v>64</v>
      </c>
      <c r="K38" s="408" t="s">
        <v>91</v>
      </c>
      <c r="L38" s="423"/>
      <c r="M38" s="422"/>
    </row>
    <row r="39" spans="1:15" s="293" customFormat="1" ht="15" x14ac:dyDescent="0.2">
      <c r="A39" s="448">
        <v>4</v>
      </c>
      <c r="B39" s="448">
        <v>1</v>
      </c>
      <c r="C39" s="449" t="s">
        <v>248</v>
      </c>
      <c r="D39" s="448">
        <v>1</v>
      </c>
      <c r="E39" s="450" t="s">
        <v>84</v>
      </c>
      <c r="F39" s="451">
        <f>GDSL!J134</f>
        <v>7500</v>
      </c>
      <c r="G39" s="451">
        <f>GDSL!I159</f>
        <v>1700</v>
      </c>
      <c r="H39" s="451">
        <f>GDSL!G159</f>
        <v>21600</v>
      </c>
      <c r="I39" s="452">
        <f t="shared" ref="I39:I44" si="2">G39-F39</f>
        <v>-5800</v>
      </c>
      <c r="J39" s="453">
        <f t="shared" ref="J39:J44" si="3">G39/F39%</f>
        <v>22.666666666666668</v>
      </c>
      <c r="K39" s="551">
        <f>GDSL!H159</f>
        <v>1764249984</v>
      </c>
      <c r="L39" s="423"/>
      <c r="M39" s="422"/>
    </row>
    <row r="40" spans="1:15" s="293" customFormat="1" ht="15" x14ac:dyDescent="0.2">
      <c r="A40" s="448"/>
      <c r="B40" s="448"/>
      <c r="C40" s="449" t="s">
        <v>70</v>
      </c>
      <c r="D40" s="448">
        <v>2</v>
      </c>
      <c r="E40" s="452" t="s">
        <v>87</v>
      </c>
      <c r="F40" s="451">
        <f>Gdpn!I31</f>
        <v>350</v>
      </c>
      <c r="G40" s="451">
        <f>Gdpn!H45</f>
        <v>49</v>
      </c>
      <c r="H40" s="451">
        <f>Gdpn!F45</f>
        <v>490</v>
      </c>
      <c r="I40" s="452">
        <f t="shared" si="2"/>
        <v>-301</v>
      </c>
      <c r="J40" s="453">
        <f t="shared" si="3"/>
        <v>14</v>
      </c>
      <c r="K40" s="552">
        <f>Gdpn!G45</f>
        <v>53768400</v>
      </c>
      <c r="L40" s="423"/>
      <c r="M40" s="422"/>
    </row>
    <row r="41" spans="1:15" s="293" customFormat="1" ht="15" x14ac:dyDescent="0.2">
      <c r="A41" s="448"/>
      <c r="B41" s="448"/>
      <c r="C41" s="449"/>
      <c r="D41" s="448">
        <v>3</v>
      </c>
      <c r="E41" s="452" t="s">
        <v>240</v>
      </c>
      <c r="F41" s="451">
        <f>Mstfl!I24</f>
        <v>500</v>
      </c>
      <c r="G41" s="576">
        <f>Mstfl!H36</f>
        <v>0</v>
      </c>
      <c r="H41" s="549">
        <f>Mstfl!F36</f>
        <v>0</v>
      </c>
      <c r="I41" s="451">
        <f t="shared" si="2"/>
        <v>-500</v>
      </c>
      <c r="J41" s="453">
        <f t="shared" si="3"/>
        <v>0</v>
      </c>
      <c r="K41" s="454">
        <f>Mstfl!G36</f>
        <v>0</v>
      </c>
      <c r="L41" s="423"/>
      <c r="M41" s="422"/>
    </row>
    <row r="42" spans="1:15" s="97" customFormat="1" ht="15" x14ac:dyDescent="0.2">
      <c r="A42" s="448"/>
      <c r="B42" s="448"/>
      <c r="C42" s="449"/>
      <c r="D42" s="448">
        <v>4</v>
      </c>
      <c r="E42" s="452" t="s">
        <v>81</v>
      </c>
      <c r="F42" s="451">
        <f>'Dkm Cair'!I66</f>
        <v>700</v>
      </c>
      <c r="G42" s="451">
        <f>'Dkm Cair'!H80</f>
        <v>0</v>
      </c>
      <c r="H42" s="451">
        <f>'Dkm Cair'!F80</f>
        <v>0</v>
      </c>
      <c r="I42" s="452">
        <f t="shared" si="2"/>
        <v>-700</v>
      </c>
      <c r="J42" s="453">
        <f t="shared" si="3"/>
        <v>0</v>
      </c>
      <c r="K42" s="553">
        <f>'Dkm Cair'!G80</f>
        <v>0</v>
      </c>
      <c r="L42" s="423"/>
      <c r="M42" s="422"/>
      <c r="N42" s="293"/>
    </row>
    <row r="43" spans="1:15" s="97" customFormat="1" ht="15" x14ac:dyDescent="0.2">
      <c r="A43" s="448"/>
      <c r="B43" s="448"/>
      <c r="C43" s="449"/>
      <c r="D43" s="448">
        <v>5</v>
      </c>
      <c r="E43" s="452" t="s">
        <v>88</v>
      </c>
      <c r="F43" s="451">
        <f>Msg!K20</f>
        <v>700</v>
      </c>
      <c r="G43" s="451">
        <f>Msg!J37</f>
        <v>200</v>
      </c>
      <c r="H43" s="453">
        <f>Msg!H37</f>
        <v>1020</v>
      </c>
      <c r="I43" s="452">
        <f t="shared" si="2"/>
        <v>-500</v>
      </c>
      <c r="J43" s="453">
        <f t="shared" si="3"/>
        <v>28.571428571428573</v>
      </c>
      <c r="K43" s="553">
        <f>Msg!I37</f>
        <v>461444760</v>
      </c>
      <c r="L43" s="423"/>
      <c r="M43" s="422"/>
      <c r="N43" s="293"/>
    </row>
    <row r="44" spans="1:15" s="97" customFormat="1" ht="15" x14ac:dyDescent="0.2">
      <c r="A44" s="448"/>
      <c r="B44" s="448"/>
      <c r="C44" s="449"/>
      <c r="D44" s="448">
        <v>6</v>
      </c>
      <c r="E44" s="452" t="s">
        <v>283</v>
      </c>
      <c r="F44" s="451">
        <f>Vlmk!I25</f>
        <v>100</v>
      </c>
      <c r="G44" s="451">
        <f>Vlmk!H42</f>
        <v>0</v>
      </c>
      <c r="H44" s="453">
        <f>Vlmk!F42</f>
        <v>0</v>
      </c>
      <c r="I44" s="452">
        <f t="shared" si="2"/>
        <v>-100</v>
      </c>
      <c r="J44" s="453">
        <f t="shared" si="3"/>
        <v>0</v>
      </c>
      <c r="K44" s="553">
        <f>Vlmk!G42</f>
        <v>0</v>
      </c>
      <c r="L44" s="423"/>
      <c r="M44" s="422"/>
      <c r="N44" s="293"/>
    </row>
    <row r="45" spans="1:15" s="97" customFormat="1" ht="15" x14ac:dyDescent="0.2">
      <c r="A45" s="448"/>
      <c r="B45" s="448"/>
      <c r="C45" s="449"/>
      <c r="D45" s="448"/>
      <c r="E45" s="452"/>
      <c r="F45" s="451"/>
      <c r="G45" s="451"/>
      <c r="H45" s="451"/>
      <c r="I45" s="452"/>
      <c r="J45" s="455" t="s">
        <v>90</v>
      </c>
      <c r="K45" s="456">
        <f>SUM(K39:K44)</f>
        <v>2279463144</v>
      </c>
      <c r="L45" s="458">
        <f>AVERAGE(J39:J43)</f>
        <v>13.047619047619047</v>
      </c>
      <c r="M45" s="422"/>
      <c r="N45" s="293"/>
    </row>
    <row r="46" spans="1:15" s="97" customFormat="1" ht="15" x14ac:dyDescent="0.2">
      <c r="A46" s="448"/>
      <c r="B46" s="448"/>
      <c r="C46" s="449"/>
      <c r="D46" s="448"/>
      <c r="E46" s="452"/>
      <c r="F46" s="451"/>
      <c r="G46" s="451"/>
      <c r="H46" s="451"/>
      <c r="I46" s="452"/>
      <c r="J46" s="453"/>
      <c r="K46" s="454"/>
      <c r="L46" s="423"/>
      <c r="M46" s="422"/>
      <c r="N46" s="293"/>
    </row>
    <row r="47" spans="1:15" s="97" customFormat="1" ht="15" x14ac:dyDescent="0.2">
      <c r="A47" s="448">
        <v>4</v>
      </c>
      <c r="B47" s="448">
        <v>2</v>
      </c>
      <c r="C47" s="449" t="s">
        <v>250</v>
      </c>
      <c r="D47" s="448">
        <v>1</v>
      </c>
      <c r="E47" s="450" t="s">
        <v>84</v>
      </c>
      <c r="F47" s="451">
        <f>GDSL!J164</f>
        <v>5000</v>
      </c>
      <c r="G47" s="451">
        <f>GDSL!I180</f>
        <v>500</v>
      </c>
      <c r="H47" s="451">
        <f>GDSL!G180</f>
        <v>6120</v>
      </c>
      <c r="I47" s="452">
        <f>G47-F47</f>
        <v>-4500</v>
      </c>
      <c r="J47" s="453">
        <f>G47/F47%</f>
        <v>10</v>
      </c>
      <c r="K47" s="454">
        <f>GDSL!H180</f>
        <v>494193312</v>
      </c>
      <c r="L47" s="423"/>
      <c r="M47" s="422"/>
      <c r="N47" s="293"/>
    </row>
    <row r="48" spans="1:15" s="97" customFormat="1" ht="15" x14ac:dyDescent="0.2">
      <c r="A48" s="448"/>
      <c r="B48" s="448"/>
      <c r="C48" s="449" t="s">
        <v>70</v>
      </c>
      <c r="D48" s="448">
        <v>2</v>
      </c>
      <c r="E48" s="452" t="s">
        <v>150</v>
      </c>
      <c r="F48" s="451">
        <f>Zn!G18</f>
        <v>250</v>
      </c>
      <c r="G48" s="451">
        <f>Zn!F26</f>
        <v>0</v>
      </c>
      <c r="H48" s="451">
        <f>Zn!D26</f>
        <v>0</v>
      </c>
      <c r="I48" s="452">
        <f>G48-F48</f>
        <v>-250</v>
      </c>
      <c r="J48" s="453">
        <f>G48/F48%</f>
        <v>0</v>
      </c>
      <c r="K48" s="454">
        <f>Zn!E26</f>
        <v>0</v>
      </c>
      <c r="L48" s="423"/>
      <c r="M48" s="422"/>
      <c r="N48" s="293"/>
    </row>
    <row r="49" spans="1:15" s="97" customFormat="1" ht="15" x14ac:dyDescent="0.2">
      <c r="A49" s="448"/>
      <c r="B49" s="448"/>
      <c r="C49" s="449"/>
      <c r="D49" s="448">
        <v>3</v>
      </c>
      <c r="E49" s="452" t="s">
        <v>81</v>
      </c>
      <c r="F49" s="451">
        <f>'Dkm Cair'!I85</f>
        <v>300</v>
      </c>
      <c r="G49" s="451">
        <f>'Dkm Cair'!D93</f>
        <v>0</v>
      </c>
      <c r="H49" s="451">
        <f>'Dkm Cair'!F93</f>
        <v>0</v>
      </c>
      <c r="I49" s="452">
        <f>G49-F49</f>
        <v>-300</v>
      </c>
      <c r="J49" s="453">
        <f>G49/F49%</f>
        <v>0</v>
      </c>
      <c r="K49" s="454">
        <f>'Dkm Cair'!G93</f>
        <v>0</v>
      </c>
      <c r="L49" s="423"/>
      <c r="M49" s="422"/>
      <c r="N49" s="293"/>
    </row>
    <row r="50" spans="1:15" s="97" customFormat="1" ht="15" x14ac:dyDescent="0.2">
      <c r="A50" s="448"/>
      <c r="B50" s="448"/>
      <c r="C50" s="449"/>
      <c r="D50" s="448">
        <v>4</v>
      </c>
      <c r="E50" s="452" t="s">
        <v>83</v>
      </c>
      <c r="F50" s="451">
        <f>'Dkm 1,2'!G19</f>
        <v>100</v>
      </c>
      <c r="G50" s="451">
        <f>'Dkm 1,2'!F27</f>
        <v>0</v>
      </c>
      <c r="H50" s="451">
        <f>'Dkm 1,2'!D27</f>
        <v>0</v>
      </c>
      <c r="I50" s="452">
        <f>G50-F50</f>
        <v>-100</v>
      </c>
      <c r="J50" s="453">
        <f>G50/F50%</f>
        <v>0</v>
      </c>
      <c r="K50" s="454">
        <f>'Dkm 1,2'!E27</f>
        <v>0</v>
      </c>
      <c r="L50" s="423"/>
      <c r="M50" s="422"/>
      <c r="N50" s="293"/>
    </row>
    <row r="51" spans="1:15" s="97" customFormat="1" ht="15" x14ac:dyDescent="0.2">
      <c r="A51" s="448"/>
      <c r="B51" s="448"/>
      <c r="C51" s="449"/>
      <c r="D51" s="448"/>
      <c r="E51" s="452"/>
      <c r="F51" s="451"/>
      <c r="G51" s="451"/>
      <c r="H51" s="549"/>
      <c r="I51" s="452"/>
      <c r="J51" s="455" t="s">
        <v>90</v>
      </c>
      <c r="K51" s="456">
        <f>SUM(K47:K50)</f>
        <v>494193312</v>
      </c>
      <c r="L51" s="458">
        <f>AVERAGE(J47:J50)</f>
        <v>2.5</v>
      </c>
      <c r="M51" s="422"/>
      <c r="N51" s="293"/>
    </row>
    <row r="52" spans="1:15" s="97" customFormat="1" ht="15" x14ac:dyDescent="0.2">
      <c r="A52" s="448"/>
      <c r="B52" s="448"/>
      <c r="C52" s="449"/>
      <c r="D52" s="448"/>
      <c r="E52" s="452"/>
      <c r="F52" s="451"/>
      <c r="G52" s="451"/>
      <c r="H52" s="549"/>
      <c r="I52" s="452"/>
      <c r="J52" s="455"/>
      <c r="K52" s="456"/>
      <c r="L52" s="423"/>
      <c r="M52" s="422"/>
      <c r="N52" s="293"/>
    </row>
    <row r="53" spans="1:15" s="97" customFormat="1" ht="15" x14ac:dyDescent="0.2">
      <c r="A53" s="182">
        <v>4</v>
      </c>
      <c r="B53" s="182">
        <v>3</v>
      </c>
      <c r="C53" s="185" t="s">
        <v>89</v>
      </c>
      <c r="D53" s="182">
        <v>1</v>
      </c>
      <c r="E53" s="183" t="s">
        <v>86</v>
      </c>
      <c r="F53" s="201">
        <f>Gdtar!I23</f>
        <v>300</v>
      </c>
      <c r="G53" s="201">
        <f>Gdtar!H38</f>
        <v>0</v>
      </c>
      <c r="H53" s="549">
        <f>Gdtar!F38</f>
        <v>0</v>
      </c>
      <c r="I53" s="183">
        <f>G53-F53</f>
        <v>-300</v>
      </c>
      <c r="J53" s="202">
        <f>G53/F53%</f>
        <v>0</v>
      </c>
      <c r="K53" s="417">
        <f>Gdtar!G38</f>
        <v>0</v>
      </c>
      <c r="L53" s="423"/>
      <c r="M53" s="422"/>
      <c r="N53" s="293"/>
    </row>
    <row r="54" spans="1:15" s="97" customFormat="1" ht="15" x14ac:dyDescent="0.2">
      <c r="A54" s="182"/>
      <c r="B54" s="182"/>
      <c r="C54" s="185" t="s">
        <v>213</v>
      </c>
      <c r="D54" s="182"/>
      <c r="E54" s="183"/>
      <c r="F54" s="201"/>
      <c r="G54" s="183"/>
      <c r="H54" s="549"/>
      <c r="I54" s="183"/>
      <c r="J54" s="203" t="s">
        <v>90</v>
      </c>
      <c r="K54" s="418">
        <f>SUM(K53:K53)</f>
        <v>0</v>
      </c>
      <c r="L54" s="458">
        <f>AVERAGE(J53)</f>
        <v>0</v>
      </c>
      <c r="M54" s="422"/>
      <c r="N54" s="293"/>
    </row>
    <row r="55" spans="1:15" s="97" customFormat="1" ht="15" x14ac:dyDescent="0.2">
      <c r="A55" s="182"/>
      <c r="B55" s="182"/>
      <c r="C55" s="185"/>
      <c r="D55" s="182"/>
      <c r="E55" s="183"/>
      <c r="F55" s="201"/>
      <c r="G55" s="183"/>
      <c r="H55" s="549"/>
      <c r="I55" s="183"/>
      <c r="J55" s="203"/>
      <c r="K55" s="418"/>
      <c r="L55" s="423"/>
      <c r="M55" s="422"/>
      <c r="N55" s="293"/>
      <c r="O55" s="554"/>
    </row>
    <row r="56" spans="1:15" s="293" customFormat="1" ht="15" x14ac:dyDescent="0.2">
      <c r="A56" s="425"/>
      <c r="B56" s="425"/>
      <c r="C56" s="426"/>
      <c r="D56" s="425"/>
      <c r="E56" s="323"/>
      <c r="F56" s="550"/>
      <c r="G56" s="323"/>
      <c r="H56" s="427"/>
      <c r="I56" s="323"/>
      <c r="J56" s="428"/>
      <c r="K56" s="429"/>
      <c r="L56" s="423"/>
      <c r="M56" s="422"/>
    </row>
    <row r="57" spans="1:15" s="97" customFormat="1" ht="15" x14ac:dyDescent="0.2">
      <c r="A57" s="298"/>
      <c r="B57" s="298"/>
      <c r="C57" s="186"/>
      <c r="D57" s="159"/>
      <c r="E57" s="159"/>
      <c r="F57" s="159"/>
      <c r="G57" s="159"/>
      <c r="H57" s="281"/>
      <c r="I57" s="159"/>
      <c r="J57" s="159"/>
      <c r="K57" s="159"/>
      <c r="L57" s="423"/>
      <c r="M57" s="422"/>
      <c r="N57" s="293"/>
    </row>
    <row r="58" spans="1:15" s="97" customFormat="1" ht="15" x14ac:dyDescent="0.2">
      <c r="A58" s="914" t="s">
        <v>59</v>
      </c>
      <c r="B58" s="238" t="s">
        <v>60</v>
      </c>
      <c r="C58" s="915" t="s">
        <v>73</v>
      </c>
      <c r="D58" s="341" t="s">
        <v>60</v>
      </c>
      <c r="E58" s="914" t="s">
        <v>74</v>
      </c>
      <c r="F58" s="188" t="s">
        <v>11</v>
      </c>
      <c r="G58" s="917" t="s">
        <v>75</v>
      </c>
      <c r="H58" s="917"/>
      <c r="I58" s="189" t="s">
        <v>76</v>
      </c>
      <c r="J58" s="188" t="s">
        <v>77</v>
      </c>
      <c r="K58" s="408" t="s">
        <v>10</v>
      </c>
      <c r="L58" s="423"/>
      <c r="M58" s="422"/>
      <c r="N58" s="293"/>
    </row>
    <row r="59" spans="1:15" s="97" customFormat="1" ht="15" x14ac:dyDescent="0.2">
      <c r="A59" s="914"/>
      <c r="B59" s="238" t="s">
        <v>131</v>
      </c>
      <c r="C59" s="916"/>
      <c r="D59" s="572" t="s">
        <v>177</v>
      </c>
      <c r="E59" s="914"/>
      <c r="F59" s="188" t="s">
        <v>78</v>
      </c>
      <c r="G59" s="188" t="s">
        <v>23</v>
      </c>
      <c r="H59" s="442" t="s">
        <v>79</v>
      </c>
      <c r="I59" s="188" t="s">
        <v>9</v>
      </c>
      <c r="J59" s="188" t="s">
        <v>64</v>
      </c>
      <c r="K59" s="408" t="s">
        <v>91</v>
      </c>
      <c r="L59" s="423"/>
      <c r="M59" s="422"/>
      <c r="N59" s="293"/>
      <c r="O59" s="460"/>
    </row>
    <row r="60" spans="1:15" s="97" customFormat="1" ht="15" x14ac:dyDescent="0.2">
      <c r="A60" s="184">
        <v>5</v>
      </c>
      <c r="B60" s="184">
        <v>1</v>
      </c>
      <c r="C60" s="187" t="s">
        <v>66</v>
      </c>
      <c r="D60" s="184">
        <v>1</v>
      </c>
      <c r="E60" s="207" t="s">
        <v>81</v>
      </c>
      <c r="F60" s="205">
        <f>'Dkm Cair'!I127</f>
        <v>2000</v>
      </c>
      <c r="G60" s="205">
        <f>'Dkm Cair'!H143</f>
        <v>400</v>
      </c>
      <c r="H60" s="255">
        <f>'Dkm Cair'!F143</f>
        <v>5700</v>
      </c>
      <c r="I60" s="207">
        <f>G60-F60</f>
        <v>-1600</v>
      </c>
      <c r="J60" s="206">
        <f>G60/F60%</f>
        <v>20</v>
      </c>
      <c r="K60" s="419">
        <f>'Dkm Cair'!G143</f>
        <v>487618560</v>
      </c>
      <c r="L60" s="423"/>
      <c r="M60" s="422"/>
      <c r="N60" s="293"/>
    </row>
    <row r="61" spans="1:15" s="97" customFormat="1" ht="15" x14ac:dyDescent="0.2">
      <c r="A61" s="184"/>
      <c r="B61" s="184"/>
      <c r="C61" s="187" t="s">
        <v>71</v>
      </c>
      <c r="D61" s="184"/>
      <c r="E61" s="207"/>
      <c r="F61" s="205"/>
      <c r="G61" s="205"/>
      <c r="H61" s="255"/>
      <c r="I61" s="207"/>
      <c r="J61" s="208" t="s">
        <v>90</v>
      </c>
      <c r="K61" s="420">
        <f>SUM(K60:K60)</f>
        <v>487618560</v>
      </c>
      <c r="L61" s="458">
        <f>AVERAGE(J60:J60)</f>
        <v>20</v>
      </c>
      <c r="M61" s="422"/>
      <c r="N61" s="293"/>
    </row>
    <row r="62" spans="1:15" s="97" customFormat="1" ht="15" x14ac:dyDescent="0.2">
      <c r="A62" s="184"/>
      <c r="B62" s="184"/>
      <c r="C62" s="204"/>
      <c r="D62" s="207"/>
      <c r="E62" s="207"/>
      <c r="F62" s="207"/>
      <c r="G62" s="207"/>
      <c r="H62" s="253"/>
      <c r="I62" s="207"/>
      <c r="J62" s="207"/>
      <c r="K62" s="421"/>
      <c r="L62" s="423"/>
      <c r="M62" s="422"/>
      <c r="N62" s="293"/>
    </row>
    <row r="63" spans="1:15" s="97" customFormat="1" ht="15" x14ac:dyDescent="0.2">
      <c r="A63" s="184">
        <v>5</v>
      </c>
      <c r="B63" s="184">
        <v>2</v>
      </c>
      <c r="C63" s="187" t="s">
        <v>72</v>
      </c>
      <c r="D63" s="184">
        <v>1</v>
      </c>
      <c r="E63" s="204" t="s">
        <v>84</v>
      </c>
      <c r="F63" s="205">
        <f>GDSL!J214</f>
        <v>5000</v>
      </c>
      <c r="G63" s="205">
        <f>GDSL!I227</f>
        <v>1000</v>
      </c>
      <c r="H63" s="254">
        <f>GDSL!G227</f>
        <v>12480</v>
      </c>
      <c r="I63" s="205">
        <f>G63-F63</f>
        <v>-4000</v>
      </c>
      <c r="J63" s="206">
        <f>G63/F63%</f>
        <v>20</v>
      </c>
      <c r="K63" s="419">
        <f>GDSL!H227</f>
        <v>1004946048</v>
      </c>
      <c r="L63" s="423"/>
      <c r="M63" s="422"/>
      <c r="N63" s="293"/>
    </row>
    <row r="64" spans="1:15" s="97" customFormat="1" ht="15" x14ac:dyDescent="0.2">
      <c r="A64" s="184"/>
      <c r="B64" s="184"/>
      <c r="C64" s="187" t="s">
        <v>71</v>
      </c>
      <c r="D64" s="184">
        <v>2</v>
      </c>
      <c r="E64" s="207" t="s">
        <v>81</v>
      </c>
      <c r="F64" s="205">
        <f>'Dkm Cair'!I109</f>
        <v>100</v>
      </c>
      <c r="G64" s="205">
        <f>'Dkm Cair'!H122</f>
        <v>0</v>
      </c>
      <c r="H64" s="254">
        <f>'Dkm Cair'!F122</f>
        <v>0</v>
      </c>
      <c r="I64" s="205">
        <f>G64-F64</f>
        <v>-100</v>
      </c>
      <c r="J64" s="206">
        <f>G64/F64%</f>
        <v>0</v>
      </c>
      <c r="K64" s="419">
        <f>'Dkm Cair'!G122</f>
        <v>0</v>
      </c>
      <c r="L64" s="423"/>
      <c r="M64" s="422"/>
      <c r="N64" s="293"/>
    </row>
    <row r="65" spans="1:15" s="97" customFormat="1" ht="15" x14ac:dyDescent="0.2">
      <c r="A65" s="184"/>
      <c r="B65" s="184"/>
      <c r="C65" s="187"/>
      <c r="D65" s="184">
        <v>3</v>
      </c>
      <c r="E65" s="207" t="s">
        <v>246</v>
      </c>
      <c r="F65" s="205">
        <f>Gdpn!I49</f>
        <v>50</v>
      </c>
      <c r="G65" s="205">
        <f>Gdpn!H56</f>
        <v>0</v>
      </c>
      <c r="H65" s="255">
        <f>Gdpn!F56</f>
        <v>0</v>
      </c>
      <c r="I65" s="205">
        <f>G65-F65</f>
        <v>-50</v>
      </c>
      <c r="J65" s="206">
        <f>G65/F65%</f>
        <v>0</v>
      </c>
      <c r="K65" s="419">
        <f>Gdpn!G56</f>
        <v>0</v>
      </c>
      <c r="L65" s="423"/>
      <c r="M65" s="422"/>
      <c r="N65" s="293"/>
    </row>
    <row r="66" spans="1:15" s="97" customFormat="1" ht="15" x14ac:dyDescent="0.2">
      <c r="A66" s="184"/>
      <c r="B66" s="184"/>
      <c r="C66" s="187"/>
      <c r="D66" s="184"/>
      <c r="E66" s="207"/>
      <c r="F66" s="205"/>
      <c r="G66" s="205"/>
      <c r="H66" s="255"/>
      <c r="I66" s="207"/>
      <c r="J66" s="208" t="s">
        <v>90</v>
      </c>
      <c r="K66" s="420">
        <f>SUM(K63:K65)</f>
        <v>1004946048</v>
      </c>
      <c r="L66" s="458">
        <f>AVERAGE(J63:J65)</f>
        <v>6.666666666666667</v>
      </c>
      <c r="M66" s="422"/>
      <c r="N66" s="293"/>
    </row>
    <row r="67" spans="1:15" s="97" customFormat="1" ht="15" x14ac:dyDescent="0.2">
      <c r="A67" s="184"/>
      <c r="B67" s="184"/>
      <c r="C67" s="187"/>
      <c r="D67" s="184"/>
      <c r="E67" s="207"/>
      <c r="F67" s="205"/>
      <c r="G67" s="205"/>
      <c r="H67" s="255"/>
      <c r="I67" s="207"/>
      <c r="J67" s="208"/>
      <c r="K67" s="420"/>
      <c r="L67" s="423"/>
      <c r="M67" s="422"/>
      <c r="N67" s="293"/>
      <c r="O67" s="554">
        <f>K61+K66</f>
        <v>1492564608</v>
      </c>
    </row>
    <row r="68" spans="1:15" s="97" customFormat="1" ht="15" x14ac:dyDescent="0.2">
      <c r="A68" s="425"/>
      <c r="B68" s="425"/>
      <c r="C68" s="426"/>
      <c r="D68" s="425"/>
      <c r="E68" s="323"/>
      <c r="F68" s="323"/>
      <c r="G68" s="323"/>
      <c r="H68" s="427"/>
      <c r="I68" s="323"/>
      <c r="J68" s="428"/>
      <c r="K68" s="429"/>
      <c r="L68" s="368"/>
      <c r="M68" s="368"/>
      <c r="N68" s="293"/>
    </row>
    <row r="69" spans="1:15" s="97" customFormat="1" ht="15" x14ac:dyDescent="0.2">
      <c r="A69" s="298"/>
      <c r="B69" s="298"/>
      <c r="C69" s="159"/>
      <c r="D69" s="159"/>
      <c r="E69" s="159"/>
      <c r="F69" s="159"/>
      <c r="G69" s="159"/>
      <c r="H69" s="281"/>
      <c r="I69" s="159"/>
      <c r="J69" s="159"/>
      <c r="K69" s="159"/>
      <c r="L69" s="374"/>
      <c r="M69" s="293"/>
      <c r="N69" s="293"/>
    </row>
    <row r="70" spans="1:15" s="97" customFormat="1" ht="15.75" x14ac:dyDescent="0.25">
      <c r="A70" s="926" t="s">
        <v>286</v>
      </c>
      <c r="B70" s="927"/>
      <c r="C70" s="927"/>
      <c r="D70" s="927"/>
      <c r="E70" s="927"/>
      <c r="F70" s="927"/>
      <c r="G70" s="927"/>
      <c r="H70" s="445"/>
      <c r="I70" s="270"/>
      <c r="J70" s="270"/>
      <c r="K70" s="270"/>
      <c r="L70" s="293"/>
      <c r="M70" s="293"/>
      <c r="N70" s="293"/>
    </row>
    <row r="71" spans="1:15" s="97" customFormat="1" ht="15.75" x14ac:dyDescent="0.25">
      <c r="A71" s="324" t="s">
        <v>59</v>
      </c>
      <c r="B71" s="325" t="s">
        <v>60</v>
      </c>
      <c r="C71" s="325" t="s">
        <v>61</v>
      </c>
      <c r="D71" s="343"/>
      <c r="E71" s="326" t="s">
        <v>120</v>
      </c>
      <c r="F71" s="925" t="s">
        <v>62</v>
      </c>
      <c r="G71" s="925"/>
      <c r="H71" s="425"/>
      <c r="I71" s="174"/>
      <c r="J71" s="174"/>
      <c r="K71" s="174"/>
      <c r="L71" s="375"/>
      <c r="M71" s="369"/>
      <c r="N71" s="293"/>
    </row>
    <row r="72" spans="1:15" s="98" customFormat="1" ht="15.75" x14ac:dyDescent="0.25">
      <c r="A72" s="22">
        <v>1</v>
      </c>
      <c r="B72" s="22">
        <v>1</v>
      </c>
      <c r="C72" s="327" t="s">
        <v>96</v>
      </c>
      <c r="D72" s="344"/>
      <c r="E72" s="328" t="s">
        <v>97</v>
      </c>
      <c r="F72" s="918">
        <f>K13</f>
        <v>1563960696</v>
      </c>
      <c r="G72" s="919"/>
      <c r="H72" s="323"/>
      <c r="I72" s="157"/>
      <c r="J72" s="157"/>
      <c r="K72" s="157"/>
      <c r="L72" s="376"/>
      <c r="M72" s="368"/>
      <c r="N72" s="368"/>
    </row>
    <row r="73" spans="1:15" s="98" customFormat="1" ht="15.75" x14ac:dyDescent="0.25">
      <c r="A73" s="94"/>
      <c r="B73" s="94"/>
      <c r="C73" s="922" t="s">
        <v>168</v>
      </c>
      <c r="D73" s="923"/>
      <c r="E73" s="924"/>
      <c r="F73" s="920">
        <f>SUM(F72:G72)</f>
        <v>1563960696</v>
      </c>
      <c r="G73" s="921"/>
      <c r="H73" s="323"/>
      <c r="I73" s="157"/>
      <c r="J73" s="157"/>
      <c r="K73" s="157"/>
      <c r="L73" s="376"/>
      <c r="M73" s="368"/>
      <c r="N73" s="368"/>
    </row>
    <row r="74" spans="1:15" s="98" customFormat="1" ht="15.75" x14ac:dyDescent="0.25">
      <c r="A74" s="174"/>
      <c r="B74" s="174"/>
      <c r="C74" s="928"/>
      <c r="D74" s="928"/>
      <c r="E74" s="928"/>
      <c r="F74" s="928"/>
      <c r="G74" s="928"/>
      <c r="H74" s="323"/>
      <c r="I74" s="157"/>
      <c r="J74" s="157"/>
      <c r="K74" s="157"/>
      <c r="L74" s="376"/>
      <c r="M74" s="368"/>
      <c r="N74" s="368"/>
    </row>
    <row r="75" spans="1:15" s="98" customFormat="1" ht="15.75" x14ac:dyDescent="0.25">
      <c r="A75" s="22">
        <v>2</v>
      </c>
      <c r="B75" s="22">
        <v>1</v>
      </c>
      <c r="C75" s="327" t="s">
        <v>204</v>
      </c>
      <c r="D75" s="344"/>
      <c r="E75" s="328" t="s">
        <v>95</v>
      </c>
      <c r="F75" s="918">
        <f>K21</f>
        <v>1095366870</v>
      </c>
      <c r="G75" s="919"/>
      <c r="H75" s="323"/>
      <c r="I75" s="157"/>
      <c r="J75" s="157"/>
      <c r="K75" s="157"/>
      <c r="L75" s="376"/>
      <c r="M75" s="368"/>
      <c r="N75" s="368"/>
    </row>
    <row r="76" spans="1:15" s="98" customFormat="1" ht="15.75" x14ac:dyDescent="0.25">
      <c r="A76" s="22">
        <v>2</v>
      </c>
      <c r="B76" s="22">
        <v>2</v>
      </c>
      <c r="C76" s="327" t="s">
        <v>164</v>
      </c>
      <c r="D76" s="344"/>
      <c r="E76" s="328" t="s">
        <v>136</v>
      </c>
      <c r="F76" s="918">
        <f>K24</f>
        <v>512702784</v>
      </c>
      <c r="G76" s="919"/>
      <c r="H76" s="323"/>
      <c r="I76" s="157"/>
      <c r="J76" s="157"/>
      <c r="K76" s="157"/>
      <c r="L76" s="376"/>
      <c r="M76" s="368"/>
      <c r="N76" s="368"/>
    </row>
    <row r="77" spans="1:15" s="98" customFormat="1" ht="15.75" x14ac:dyDescent="0.25">
      <c r="A77" s="22"/>
      <c r="B77" s="22"/>
      <c r="C77" s="922" t="s">
        <v>169</v>
      </c>
      <c r="D77" s="923"/>
      <c r="E77" s="924"/>
      <c r="F77" s="931">
        <f>SUM(F75:G76)</f>
        <v>1608069654</v>
      </c>
      <c r="G77" s="932"/>
      <c r="H77" s="323"/>
      <c r="I77" s="157"/>
      <c r="J77" s="157"/>
      <c r="K77" s="157"/>
      <c r="L77" s="376"/>
      <c r="M77" s="368"/>
      <c r="N77" s="368"/>
    </row>
    <row r="78" spans="1:15" s="98" customFormat="1" ht="15.75" customHeight="1" x14ac:dyDescent="0.2">
      <c r="A78" s="929"/>
      <c r="B78" s="929"/>
      <c r="C78" s="929"/>
      <c r="D78" s="929"/>
      <c r="E78" s="929"/>
      <c r="F78" s="929"/>
      <c r="G78" s="929"/>
      <c r="H78" s="323"/>
      <c r="I78" s="157"/>
      <c r="J78" s="157"/>
      <c r="K78" s="157"/>
      <c r="L78" s="376"/>
      <c r="M78" s="368"/>
      <c r="N78" s="368"/>
    </row>
    <row r="79" spans="1:15" s="98" customFormat="1" ht="15.75" x14ac:dyDescent="0.25">
      <c r="A79" s="22">
        <v>3</v>
      </c>
      <c r="B79" s="22">
        <v>1</v>
      </c>
      <c r="C79" s="327" t="s">
        <v>214</v>
      </c>
      <c r="D79" s="344"/>
      <c r="E79" s="328" t="s">
        <v>102</v>
      </c>
      <c r="F79" s="918">
        <f>K34</f>
        <v>9225608046</v>
      </c>
      <c r="G79" s="919"/>
      <c r="H79" s="323"/>
      <c r="I79" s="157"/>
      <c r="J79" s="157"/>
      <c r="K79" s="157"/>
      <c r="L79" s="376"/>
      <c r="M79" s="368"/>
      <c r="N79" s="368"/>
    </row>
    <row r="80" spans="1:15" s="98" customFormat="1" ht="15.75" x14ac:dyDescent="0.25">
      <c r="A80" s="22"/>
      <c r="B80" s="22"/>
      <c r="C80" s="922" t="s">
        <v>170</v>
      </c>
      <c r="D80" s="923"/>
      <c r="E80" s="924"/>
      <c r="F80" s="920">
        <f>SUM(F79:G79)</f>
        <v>9225608046</v>
      </c>
      <c r="G80" s="921"/>
      <c r="H80" s="323"/>
      <c r="I80" s="157"/>
      <c r="J80" s="157"/>
      <c r="K80" s="157"/>
      <c r="L80" s="376"/>
      <c r="M80" s="368"/>
      <c r="N80" s="368"/>
    </row>
    <row r="81" spans="1:14" s="98" customFormat="1" ht="15.75" customHeight="1" x14ac:dyDescent="0.2">
      <c r="A81" s="929"/>
      <c r="B81" s="929"/>
      <c r="C81" s="929"/>
      <c r="D81" s="929"/>
      <c r="E81" s="929"/>
      <c r="F81" s="929"/>
      <c r="G81" s="929"/>
      <c r="H81" s="323"/>
      <c r="I81" s="157"/>
      <c r="J81" s="157"/>
      <c r="K81" s="157"/>
      <c r="L81" s="376"/>
      <c r="M81" s="368"/>
      <c r="N81" s="368"/>
    </row>
    <row r="82" spans="1:14" s="98" customFormat="1" ht="15.75" x14ac:dyDescent="0.25">
      <c r="A82" s="22">
        <v>4</v>
      </c>
      <c r="B82" s="22">
        <v>1</v>
      </c>
      <c r="C82" s="327" t="s">
        <v>251</v>
      </c>
      <c r="D82" s="344"/>
      <c r="E82" s="328" t="s">
        <v>103</v>
      </c>
      <c r="F82" s="918">
        <f>K45</f>
        <v>2279463144</v>
      </c>
      <c r="G82" s="919"/>
      <c r="H82" s="323"/>
      <c r="I82" s="157"/>
      <c r="J82" s="157"/>
      <c r="K82" s="157"/>
      <c r="L82" s="376"/>
      <c r="M82" s="368"/>
      <c r="N82" s="368"/>
    </row>
    <row r="83" spans="1:14" s="98" customFormat="1" ht="15.75" x14ac:dyDescent="0.25">
      <c r="A83" s="22">
        <v>4</v>
      </c>
      <c r="B83" s="22">
        <v>2</v>
      </c>
      <c r="C83" s="327" t="s">
        <v>252</v>
      </c>
      <c r="D83" s="344"/>
      <c r="E83" s="328" t="s">
        <v>103</v>
      </c>
      <c r="F83" s="918">
        <f>K51</f>
        <v>494193312</v>
      </c>
      <c r="G83" s="919"/>
      <c r="H83" s="323"/>
      <c r="I83" s="157"/>
      <c r="J83" s="157"/>
      <c r="K83" s="157"/>
      <c r="L83" s="376"/>
      <c r="M83" s="368"/>
      <c r="N83" s="368"/>
    </row>
    <row r="84" spans="1:14" s="98" customFormat="1" ht="15.75" x14ac:dyDescent="0.25">
      <c r="A84" s="22"/>
      <c r="B84" s="22"/>
      <c r="C84" s="922" t="s">
        <v>171</v>
      </c>
      <c r="D84" s="923"/>
      <c r="E84" s="924"/>
      <c r="F84" s="920">
        <f>SUM(F82:G83)</f>
        <v>2773656456</v>
      </c>
      <c r="G84" s="921"/>
      <c r="H84" s="281"/>
      <c r="I84" s="159"/>
      <c r="J84" s="159"/>
      <c r="K84" s="159"/>
      <c r="L84" s="71"/>
      <c r="M84" s="71"/>
      <c r="N84" s="368"/>
    </row>
    <row r="85" spans="1:14" s="98" customFormat="1" ht="15.75" customHeight="1" x14ac:dyDescent="0.2">
      <c r="A85" s="929"/>
      <c r="B85" s="929"/>
      <c r="C85" s="929"/>
      <c r="D85" s="929"/>
      <c r="E85" s="929"/>
      <c r="F85" s="929"/>
      <c r="G85" s="929"/>
      <c r="H85" s="281"/>
      <c r="I85" s="159"/>
      <c r="J85" s="159"/>
      <c r="K85" s="159"/>
      <c r="L85" s="71"/>
      <c r="M85" s="71"/>
      <c r="N85" s="368"/>
    </row>
    <row r="86" spans="1:14" ht="15" x14ac:dyDescent="0.25">
      <c r="A86" s="22">
        <v>5</v>
      </c>
      <c r="B86" s="22">
        <v>1</v>
      </c>
      <c r="C86" s="327" t="s">
        <v>96</v>
      </c>
      <c r="D86" s="344"/>
      <c r="E86" s="328" t="s">
        <v>106</v>
      </c>
      <c r="F86" s="930">
        <f>K61</f>
        <v>487618560</v>
      </c>
      <c r="G86" s="930"/>
    </row>
    <row r="87" spans="1:14" ht="15" x14ac:dyDescent="0.25">
      <c r="A87" s="22">
        <v>5</v>
      </c>
      <c r="B87" s="22">
        <v>2</v>
      </c>
      <c r="C87" s="327" t="s">
        <v>99</v>
      </c>
      <c r="D87" s="344"/>
      <c r="E87" s="328" t="s">
        <v>106</v>
      </c>
      <c r="F87" s="930">
        <f>K66</f>
        <v>1004946048</v>
      </c>
      <c r="G87" s="930"/>
    </row>
    <row r="88" spans="1:14" ht="15" x14ac:dyDescent="0.25">
      <c r="A88" s="22"/>
      <c r="B88" s="22"/>
      <c r="C88" s="922" t="s">
        <v>172</v>
      </c>
      <c r="D88" s="923"/>
      <c r="E88" s="924"/>
      <c r="F88" s="931">
        <f>SUM(F86:G87)</f>
        <v>1492564608</v>
      </c>
      <c r="G88" s="931"/>
    </row>
    <row r="89" spans="1:14" ht="15" x14ac:dyDescent="0.25">
      <c r="A89" s="113"/>
      <c r="B89" s="113"/>
      <c r="C89" s="322"/>
      <c r="D89" s="346"/>
      <c r="E89" s="320"/>
      <c r="F89" s="281"/>
      <c r="G89" s="281"/>
      <c r="I89" s="281"/>
      <c r="J89" s="281"/>
      <c r="K89" s="281"/>
    </row>
    <row r="90" spans="1:14" ht="15" x14ac:dyDescent="0.25">
      <c r="B90" s="174"/>
      <c r="C90" s="321"/>
      <c r="D90" s="345"/>
      <c r="E90" s="320"/>
    </row>
    <row r="91" spans="1:14" ht="15" x14ac:dyDescent="0.25">
      <c r="B91" s="174"/>
      <c r="C91" s="333" t="s">
        <v>165</v>
      </c>
      <c r="D91" s="347"/>
      <c r="E91" s="334">
        <f>F88+F84+F80+F77+F73</f>
        <v>16663859460</v>
      </c>
    </row>
    <row r="92" spans="1:14" s="71" customFormat="1" ht="15" x14ac:dyDescent="0.25">
      <c r="A92" s="298"/>
      <c r="B92" s="174"/>
      <c r="C92" s="321"/>
      <c r="D92" s="345"/>
      <c r="E92" s="320"/>
      <c r="F92" s="159"/>
      <c r="G92" s="159"/>
      <c r="H92" s="281"/>
      <c r="I92" s="159"/>
      <c r="J92" s="159"/>
      <c r="K92" s="159"/>
    </row>
    <row r="93" spans="1:14" ht="15" x14ac:dyDescent="0.25">
      <c r="C93" s="321"/>
      <c r="D93" s="345"/>
      <c r="E93" s="320"/>
    </row>
    <row r="94" spans="1:14" ht="15" x14ac:dyDescent="0.25">
      <c r="C94" s="321"/>
      <c r="D94" s="345"/>
      <c r="E94" s="320"/>
    </row>
    <row r="95" spans="1:14" ht="15" x14ac:dyDescent="0.25">
      <c r="C95" s="321"/>
      <c r="D95" s="345"/>
      <c r="E95" s="320"/>
    </row>
    <row r="96" spans="1:14" ht="15" x14ac:dyDescent="0.25">
      <c r="C96" s="321"/>
      <c r="D96" s="345"/>
      <c r="E96" s="320"/>
    </row>
    <row r="97" spans="3:5" ht="15" x14ac:dyDescent="0.25">
      <c r="C97" s="321"/>
      <c r="D97" s="345"/>
      <c r="E97" s="320"/>
    </row>
    <row r="98" spans="3:5" ht="15" x14ac:dyDescent="0.25">
      <c r="C98" s="321"/>
      <c r="D98" s="345"/>
      <c r="E98" s="320"/>
    </row>
    <row r="99" spans="3:5" ht="15" x14ac:dyDescent="0.25">
      <c r="C99" s="321"/>
      <c r="D99" s="345"/>
      <c r="E99" s="320"/>
    </row>
    <row r="100" spans="3:5" ht="15" x14ac:dyDescent="0.25">
      <c r="C100" s="321"/>
      <c r="D100" s="345"/>
      <c r="E100" s="320"/>
    </row>
    <row r="101" spans="3:5" ht="15" x14ac:dyDescent="0.25">
      <c r="C101" s="321"/>
      <c r="D101" s="345"/>
      <c r="E101" s="320"/>
    </row>
    <row r="102" spans="3:5" ht="15" x14ac:dyDescent="0.25">
      <c r="C102" s="321"/>
      <c r="D102" s="345"/>
      <c r="E102" s="320"/>
    </row>
    <row r="103" spans="3:5" ht="15" x14ac:dyDescent="0.25">
      <c r="C103" s="321"/>
      <c r="D103" s="345"/>
      <c r="E103" s="320"/>
    </row>
    <row r="104" spans="3:5" ht="15" x14ac:dyDescent="0.25">
      <c r="C104" s="321"/>
      <c r="D104" s="345"/>
      <c r="E104" s="320"/>
    </row>
    <row r="105" spans="3:5" ht="15" x14ac:dyDescent="0.25">
      <c r="C105" s="321"/>
      <c r="D105" s="345"/>
      <c r="E105" s="320"/>
    </row>
    <row r="106" spans="3:5" ht="15" x14ac:dyDescent="0.25">
      <c r="C106" s="321"/>
      <c r="D106" s="345"/>
      <c r="E106" s="320"/>
    </row>
    <row r="107" spans="3:5" ht="15" x14ac:dyDescent="0.25">
      <c r="C107" s="321"/>
      <c r="D107" s="345"/>
      <c r="E107" s="320"/>
    </row>
    <row r="108" spans="3:5" ht="15" x14ac:dyDescent="0.25">
      <c r="C108" s="321"/>
      <c r="D108" s="345"/>
      <c r="E108" s="320"/>
    </row>
  </sheetData>
  <mergeCells count="45">
    <mergeCell ref="F84:G84"/>
    <mergeCell ref="C88:E88"/>
    <mergeCell ref="C84:E84"/>
    <mergeCell ref="F86:G86"/>
    <mergeCell ref="F77:G77"/>
    <mergeCell ref="F80:G80"/>
    <mergeCell ref="F88:G88"/>
    <mergeCell ref="F79:G79"/>
    <mergeCell ref="F87:G87"/>
    <mergeCell ref="A85:G85"/>
    <mergeCell ref="G58:H58"/>
    <mergeCell ref="F71:G71"/>
    <mergeCell ref="A70:G70"/>
    <mergeCell ref="C80:E80"/>
    <mergeCell ref="C74:G74"/>
    <mergeCell ref="A81:G81"/>
    <mergeCell ref="A78:G78"/>
    <mergeCell ref="G28:H28"/>
    <mergeCell ref="A37:A38"/>
    <mergeCell ref="A58:A59"/>
    <mergeCell ref="F82:G82"/>
    <mergeCell ref="F75:G75"/>
    <mergeCell ref="F73:G73"/>
    <mergeCell ref="C77:E77"/>
    <mergeCell ref="C73:E73"/>
    <mergeCell ref="F76:G76"/>
    <mergeCell ref="E37:E38"/>
    <mergeCell ref="E28:E29"/>
    <mergeCell ref="F83:G83"/>
    <mergeCell ref="A17:A18"/>
    <mergeCell ref="C28:C29"/>
    <mergeCell ref="C37:C38"/>
    <mergeCell ref="E58:E59"/>
    <mergeCell ref="C58:C59"/>
    <mergeCell ref="F72:G72"/>
    <mergeCell ref="G37:H37"/>
    <mergeCell ref="A28:A29"/>
    <mergeCell ref="A1:K1"/>
    <mergeCell ref="A3:A4"/>
    <mergeCell ref="C3:C4"/>
    <mergeCell ref="E3:E4"/>
    <mergeCell ref="G3:H3"/>
    <mergeCell ref="G17:H17"/>
    <mergeCell ref="C17:C18"/>
    <mergeCell ref="E17:E18"/>
  </mergeCells>
  <phoneticPr fontId="17" type="noConversion"/>
  <pageMargins left="0.57999999999999996" right="0" top="0.38" bottom="0.19685039370078741" header="0.33" footer="0.25"/>
  <pageSetup scale="70" orientation="portrait" verticalDpi="18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</vt:i4>
      </vt:variant>
    </vt:vector>
  </HeadingPairs>
  <TitlesOfParts>
    <vt:vector size="20" baseType="lpstr">
      <vt:lpstr>GDSL</vt:lpstr>
      <vt:lpstr>Gdpn</vt:lpstr>
      <vt:lpstr>Mstfl</vt:lpstr>
      <vt:lpstr>Dkg</vt:lpstr>
      <vt:lpstr>Gdtar</vt:lpstr>
      <vt:lpstr>Osmocote</vt:lpstr>
      <vt:lpstr>Dkm Cair</vt:lpstr>
      <vt:lpstr>Dkm 1,2</vt:lpstr>
      <vt:lpstr>Dekabond</vt:lpstr>
      <vt:lpstr>Vlmk</vt:lpstr>
      <vt:lpstr>Msg</vt:lpstr>
      <vt:lpstr>Dkprm</vt:lpstr>
      <vt:lpstr>Dktn</vt:lpstr>
      <vt:lpstr>Dmc</vt:lpstr>
      <vt:lpstr>Zn</vt:lpstr>
      <vt:lpstr>RKP PRDAK</vt:lpstr>
      <vt:lpstr>RKP TOKO </vt:lpstr>
      <vt:lpstr>Gdpn!Print_Area</vt:lpstr>
      <vt:lpstr>GDSL!Print_Area</vt:lpstr>
      <vt:lpstr>Gdtar!Print_Area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KALATHAM</cp:lastModifiedBy>
  <cp:lastPrinted>2025-09-22T03:37:39Z</cp:lastPrinted>
  <dcterms:created xsi:type="dcterms:W3CDTF">1996-10-14T23:33:28Z</dcterms:created>
  <dcterms:modified xsi:type="dcterms:W3CDTF">2026-03-16T04:03:42Z</dcterms:modified>
</cp:coreProperties>
</file>